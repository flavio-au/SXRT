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3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4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5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3835" windowHeight="14565" activeTab="1"/>
  </bookViews>
  <sheets>
    <sheet name="Instructions" sheetId="8" r:id="rId1"/>
    <sheet name="time_calc" sheetId="1" r:id="rId2"/>
    <sheet name="B-calc" sheetId="2" state="hidden" r:id="rId3"/>
    <sheet name="Verification" sheetId="11" state="hidden" r:id="rId4"/>
    <sheet name="B-calc-reg" sheetId="5" state="hidden" r:id="rId5"/>
    <sheet name="D0_tshutter_SSD" sheetId="6" r:id="rId6"/>
    <sheet name="Bw" sheetId="4" r:id="rId7"/>
    <sheet name="PDD" sheetId="9" r:id="rId8"/>
    <sheet name="Eq_circ" sheetId="12" state="hidden" r:id="rId9"/>
    <sheet name="Sheet2" sheetId="10" state="hidden" r:id="rId10"/>
    <sheet name="Lack_Bw_calc" sheetId="13" state="hidden" r:id="rId11"/>
  </sheets>
  <functionGroups builtInGroupCount="17"/>
  <externalReferences>
    <externalReference r:id="rId12"/>
    <externalReference r:id="rId13"/>
    <externalReference r:id="rId14"/>
  </externalReferences>
  <definedNames>
    <definedName name="Appl_sel">time_calc!$B$32</definedName>
    <definedName name="Bone_depth">time_calc!$I$25</definedName>
    <definedName name="Bone_dose_frac">time_calc!$N$35</definedName>
    <definedName name="Bone_dose_tot">time_calc!$N$34</definedName>
    <definedName name="Bone_dpt_tit">time_calc!$H$25</definedName>
    <definedName name="Bone_gap">time_calc!$I$24</definedName>
    <definedName name="Bone_gap_tit">time_calc!$H$24</definedName>
    <definedName name="Bone_ISL">time_calc!$M$37</definedName>
    <definedName name="Bone_mu_en">time_calc!$M$36</definedName>
    <definedName name="Bw_circle">'B-calc-reg'!$C$11</definedName>
    <definedName name="Bw_corr">time_calc!$L$30</definedName>
    <definedName name="Bw_eq_circ">time_calc!$H$31</definedName>
    <definedName name="Bw_oval">'B-calc-reg'!$C$21</definedName>
    <definedName name="Bw_sel">time_calc!$H$30</definedName>
    <definedName name="Calc_time">time_calc!$H$37</definedName>
    <definedName name="D_F1_A">D0_tshutter_SSD!$C$9</definedName>
    <definedName name="D_F1_B">D0_tshutter_SSD!$C$10</definedName>
    <definedName name="D_F1_C">D0_tshutter_SSD!$C$11</definedName>
    <definedName name="D_F1_D">D0_tshutter_SSD!$C$12</definedName>
    <definedName name="D_F1_E">D0_tshutter_SSD!$C$13</definedName>
    <definedName name="D_F1_F">D0_tshutter_SSD!$C$14</definedName>
    <definedName name="D_F2_A">D0_tshutter_SSD!$D$9</definedName>
    <definedName name="D_F2_B">D0_tshutter_SSD!$D$10</definedName>
    <definedName name="D_F2_C">D0_tshutter_SSD!$D$11</definedName>
    <definedName name="D_F2_D">D0_tshutter_SSD!$D$12</definedName>
    <definedName name="D_F2_E">D0_tshutter_SSD!$D$13</definedName>
    <definedName name="D_F2_F">D0_tshutter_SSD!$D$14</definedName>
    <definedName name="D_F3_A">D0_tshutter_SSD!$E$9</definedName>
    <definedName name="D_F3_B">D0_tshutter_SSD!$E$10</definedName>
    <definedName name="D_F3_C">D0_tshutter_SSD!$E$11</definedName>
    <definedName name="D_F3_D">D0_tshutter_SSD!$E$12</definedName>
    <definedName name="D_F3_E">D0_tshutter_SSD!$E$13</definedName>
    <definedName name="D_F3_F">D0_tshutter_SSD!$E$14</definedName>
    <definedName name="D_F4_A">D0_tshutter_SSD!$F$9</definedName>
    <definedName name="D_F4_B">D0_tshutter_SSD!$F$10</definedName>
    <definedName name="D_F4_C">D0_tshutter_SSD!$F$11</definedName>
    <definedName name="D_F4_D">D0_tshutter_SSD!$F$12</definedName>
    <definedName name="D_F4_E">D0_tshutter_SSD!$F$13</definedName>
    <definedName name="D_F4_F">D0_tshutter_SSD!$F$14</definedName>
    <definedName name="D_F5_A">D0_tshutter_SSD!$G$9</definedName>
    <definedName name="D_F5_B">D0_tshutter_SSD!$G$10</definedName>
    <definedName name="D_F5_C">D0_tshutter_SSD!$G$11</definedName>
    <definedName name="D_F5_D">D0_tshutter_SSD!$G$12</definedName>
    <definedName name="D_F5_E">D0_tshutter_SSD!$G$13</definedName>
    <definedName name="D_F5_F">D0_tshutter_SSD!$G$14</definedName>
    <definedName name="D0_sel">time_calc!$B$33</definedName>
    <definedName name="diam_Appl">time_calc!#REF!</definedName>
    <definedName name="diam_Appl_Sel">time_calc!$C$32</definedName>
    <definedName name="diameter">'B-calc-reg'!$C$8</definedName>
    <definedName name="dofPDD_sel">time_calc!#REF!</definedName>
    <definedName name="Dose_rate">time_calc!$H$34</definedName>
    <definedName name="Dprescr">time_calc!$C$37</definedName>
    <definedName name="equi_diameter">'B-calc-reg'!$C$18</definedName>
    <definedName name="Filter_sel">time_calc!$B$31</definedName>
    <definedName name="HVL_F1">D0_tshutter_SSD!$C$30</definedName>
    <definedName name="HVL_F2">D0_tshutter_SSD!$D$30</definedName>
    <definedName name="HVL_F3">D0_tshutter_SSD!$E$30</definedName>
    <definedName name="HVL_F4">D0_tshutter_SSD!$F$30</definedName>
    <definedName name="HVL_F5">D0_tshutter_SSD!$G$30</definedName>
    <definedName name="HVL_sel">time_calc!$D$31</definedName>
    <definedName name="ISL_sel">time_calc!$K$32</definedName>
    <definedName name="kV_F1">D0_tshutter_SSD!$C$31</definedName>
    <definedName name="kV_F2">D0_tshutter_SSD!$D$31</definedName>
    <definedName name="kV_F3">D0_tshutter_SSD!$E$31</definedName>
    <definedName name="kV_F4">D0_tshutter_SSD!$F$31</definedName>
    <definedName name="kV_F5">D0_tshutter_SSD!$G$31</definedName>
    <definedName name="kV_sel">time_calc!$C$31</definedName>
    <definedName name="LackBw_depth">time_calc!#REF!</definedName>
    <definedName name="LackBw_dpt_tit">time_calc!#REF!</definedName>
    <definedName name="LackBw_fr">time_calc!#REF!</definedName>
    <definedName name="LackBw_fr_tit">time_calc!#REF!</definedName>
    <definedName name="major_ax">'B-calc-reg'!$C$15</definedName>
    <definedName name="minor_ax">'B-calc-reg'!$C$16</definedName>
    <definedName name="mu_F1_15">PDD!$H$4</definedName>
    <definedName name="mu_F1_25">PDD!$H$15</definedName>
    <definedName name="mu_F2_15">PDD!$H$28</definedName>
    <definedName name="mu_F2_25">PDD!$H$38</definedName>
    <definedName name="mu_F3_15">PDD!$H$50</definedName>
    <definedName name="mu_F3_25">PDD!$H$60</definedName>
    <definedName name="mu_F4_15">PDD!$H$72</definedName>
    <definedName name="mu_F4_25">PDD!$H$82</definedName>
    <definedName name="mu_F5_15">PDD!$H$94</definedName>
    <definedName name="mu_F5_25">PDD!$H$104</definedName>
    <definedName name="Pat_name">time_calc!$C$3</definedName>
    <definedName name="Pat_plan_id">time_calc!$H$4</definedName>
    <definedName name="Pat_tr_site">time_calc!$C$4</definedName>
    <definedName name="Pat_URL">time_calc!$H$3</definedName>
    <definedName name="PDD">time_calc!$E$20</definedName>
    <definedName name="PDD_bone">time_calc!$I$26</definedName>
    <definedName name="PDD_sel">time_calc!$C$38</definedName>
    <definedName name="PDD_tit">time_calc!$E$19</definedName>
    <definedName name="Plan_date">Verification!$H$4</definedName>
    <definedName name="Presc_dose_frac">time_calc!$G$6</definedName>
    <definedName name="Presc_gap">time_calc!$J$20</definedName>
    <definedName name="Presc_num_frac">time_calc!$C$6</definedName>
    <definedName name="Presc_total_dose">time_calc!$C$5</definedName>
    <definedName name="SSD_F1_A">D0_tshutter_SSD!$C$39</definedName>
    <definedName name="SSD_F1_B">D0_tshutter_SSD!$C$40</definedName>
    <definedName name="SSD_F1_C">D0_tshutter_SSD!$C$41</definedName>
    <definedName name="SSD_F1_D">D0_tshutter_SSD!$C$42</definedName>
    <definedName name="SSD_F1_E">D0_tshutter_SSD!$C$43</definedName>
    <definedName name="SSD_F1_F">D0_tshutter_SSD!$C$44</definedName>
    <definedName name="SSD_F2_A">D0_tshutter_SSD!$D$39</definedName>
    <definedName name="SSD_F2_B">D0_tshutter_SSD!$D$40</definedName>
    <definedName name="SSD_F2_C">D0_tshutter_SSD!$D$41</definedName>
    <definedName name="SSD_F2_D">D0_tshutter_SSD!$D$42</definedName>
    <definedName name="SSD_F2_E">D0_tshutter_SSD!$D$43</definedName>
    <definedName name="SSD_F2_F">D0_tshutter_SSD!$D$44</definedName>
    <definedName name="SSD_F3_A">D0_tshutter_SSD!$E$39</definedName>
    <definedName name="SSD_F3_B">D0_tshutter_SSD!$E$40</definedName>
    <definedName name="SSD_F3_C">D0_tshutter_SSD!$E$41</definedName>
    <definedName name="SSD_F3_D">D0_tshutter_SSD!$E$42</definedName>
    <definedName name="SSD_F3_E">D0_tshutter_SSD!$E$43</definedName>
    <definedName name="SSD_F3_F">D0_tshutter_SSD!$E$44</definedName>
    <definedName name="SSD_F4_A">D0_tshutter_SSD!$F$39</definedName>
    <definedName name="SSD_F4_B">D0_tshutter_SSD!$F$40</definedName>
    <definedName name="SSD_F4_C">D0_tshutter_SSD!$F$41</definedName>
    <definedName name="SSD_F4_D">D0_tshutter_SSD!$F$42</definedName>
    <definedName name="SSD_F4_E">D0_tshutter_SSD!$F$43</definedName>
    <definedName name="SSD_F4_F">D0_tshutter_SSD!$F$44</definedName>
    <definedName name="SSD_F5_A">D0_tshutter_SSD!$G$39</definedName>
    <definedName name="SSD_F5_B">D0_tshutter_SSD!$G$40</definedName>
    <definedName name="SSD_F5_C">D0_tshutter_SSD!$G$41</definedName>
    <definedName name="SSD_F5_D">D0_tshutter_SSD!$G$42</definedName>
    <definedName name="SSD_F5_E">D0_tshutter_SSD!$G$43</definedName>
    <definedName name="SSD_F5_F">D0_tshutter_SSD!$G$44</definedName>
    <definedName name="SSD_sel">time_calc!$H$32</definedName>
    <definedName name="tsh_F1">D0_tshutter_SSD!$C$22</definedName>
    <definedName name="tsh_F2">D0_tshutter_SSD!$D$22</definedName>
    <definedName name="tsh_F3">D0_tshutter_SSD!$E$22</definedName>
    <definedName name="tsh_F4">D0_tshutter_SSD!$F$22</definedName>
    <definedName name="tsh_F5">D0_tshutter_SSD!$G$22</definedName>
    <definedName name="tsh_sel">time_calc!$B$34</definedName>
    <definedName name="Verif_date">Verification!$H$5</definedName>
  </definedNames>
  <calcPr calcId="145621"/>
</workbook>
</file>

<file path=xl/calcChain.xml><?xml version="1.0" encoding="utf-8"?>
<calcChain xmlns="http://schemas.openxmlformats.org/spreadsheetml/2006/main">
  <c r="G6" i="1" l="1"/>
  <c r="K106" i="9" l="1"/>
  <c r="J106" i="9"/>
  <c r="I106" i="9"/>
  <c r="H106" i="9"/>
  <c r="G106" i="9"/>
  <c r="F106" i="9"/>
  <c r="E106" i="9"/>
  <c r="D106" i="9"/>
  <c r="J96" i="9"/>
  <c r="I96" i="9"/>
  <c r="H96" i="9"/>
  <c r="G96" i="9"/>
  <c r="F96" i="9"/>
  <c r="E96" i="9"/>
  <c r="D96" i="9"/>
  <c r="K84" i="9"/>
  <c r="J84" i="9"/>
  <c r="I84" i="9"/>
  <c r="H84" i="9"/>
  <c r="G84" i="9"/>
  <c r="F84" i="9"/>
  <c r="E84" i="9"/>
  <c r="D84" i="9"/>
  <c r="J74" i="9"/>
  <c r="I74" i="9"/>
  <c r="H74" i="9"/>
  <c r="G74" i="9"/>
  <c r="F74" i="9"/>
  <c r="E74" i="9"/>
  <c r="D74" i="9"/>
  <c r="K62" i="9"/>
  <c r="J62" i="9"/>
  <c r="I62" i="9"/>
  <c r="H62" i="9"/>
  <c r="G62" i="9"/>
  <c r="F62" i="9"/>
  <c r="E62" i="9"/>
  <c r="D62" i="9"/>
  <c r="J52" i="9"/>
  <c r="I52" i="9"/>
  <c r="H52" i="9"/>
  <c r="G52" i="9"/>
  <c r="F52" i="9"/>
  <c r="E52" i="9"/>
  <c r="D52" i="9"/>
  <c r="K40" i="9"/>
  <c r="J40" i="9"/>
  <c r="I40" i="9"/>
  <c r="H40" i="9"/>
  <c r="G40" i="9"/>
  <c r="F40" i="9"/>
  <c r="E40" i="9"/>
  <c r="D40" i="9"/>
  <c r="J30" i="9"/>
  <c r="I30" i="9"/>
  <c r="H30" i="9"/>
  <c r="G30" i="9"/>
  <c r="F30" i="9"/>
  <c r="E30" i="9"/>
  <c r="D30" i="9"/>
  <c r="L17" i="9"/>
  <c r="K17" i="9"/>
  <c r="J17" i="9"/>
  <c r="I17" i="9"/>
  <c r="H17" i="9"/>
  <c r="G17" i="9"/>
  <c r="F17" i="9"/>
  <c r="E17" i="9"/>
  <c r="D17" i="9"/>
  <c r="J6" i="9"/>
  <c r="I6" i="9"/>
  <c r="H6" i="9"/>
  <c r="G6" i="9"/>
  <c r="F6" i="9"/>
  <c r="E6" i="9"/>
  <c r="D6" i="9"/>
  <c r="D22" i="6" l="1"/>
  <c r="E22" i="6"/>
  <c r="F22" i="6"/>
  <c r="G22" i="6"/>
  <c r="C22" i="6"/>
  <c r="D30" i="6"/>
  <c r="E30" i="6"/>
  <c r="F30" i="6"/>
  <c r="G30" i="6"/>
  <c r="C30" i="6"/>
  <c r="D39" i="6"/>
  <c r="E39" i="6"/>
  <c r="F39" i="6"/>
  <c r="G39" i="6"/>
  <c r="C39" i="6"/>
  <c r="B23" i="4" l="1"/>
  <c r="B24" i="4"/>
  <c r="B25" i="4"/>
  <c r="B26" i="4"/>
  <c r="B27" i="4"/>
  <c r="B28" i="4"/>
  <c r="B22" i="4"/>
  <c r="B10" i="4"/>
  <c r="B11" i="4"/>
  <c r="B12" i="4"/>
  <c r="B13" i="4"/>
  <c r="B14" i="4"/>
  <c r="B15" i="4"/>
  <c r="B9" i="4"/>
  <c r="K46" i="9"/>
  <c r="E8" i="9"/>
  <c r="F79" i="9"/>
  <c r="G22" i="9"/>
  <c r="I90" i="9"/>
  <c r="D23" i="9"/>
  <c r="F55" i="9"/>
  <c r="J42" i="9"/>
  <c r="J111" i="9"/>
  <c r="H109" i="9"/>
  <c r="H45" i="9"/>
  <c r="I108" i="9"/>
  <c r="G65" i="9"/>
  <c r="K87" i="9"/>
  <c r="D101" i="9"/>
  <c r="D13" i="9"/>
  <c r="G79" i="9"/>
  <c r="C101" i="9"/>
  <c r="H102" i="9"/>
  <c r="C42" i="9"/>
  <c r="C13" i="9"/>
  <c r="D65" i="9"/>
  <c r="G11" i="9"/>
  <c r="F34" i="9"/>
  <c r="J46" i="9"/>
  <c r="J100" i="9"/>
  <c r="C21" i="9"/>
  <c r="E90" i="9"/>
  <c r="H110" i="9"/>
  <c r="G99" i="9"/>
  <c r="C77" i="9"/>
  <c r="D87" i="9"/>
  <c r="D56" i="9"/>
  <c r="E88" i="9"/>
  <c r="I66" i="9"/>
  <c r="E86" i="9"/>
  <c r="D36" i="9"/>
  <c r="D88" i="9"/>
  <c r="D46" i="9"/>
  <c r="J89" i="9"/>
  <c r="J88" i="9"/>
  <c r="H34" i="9"/>
  <c r="C11" i="9"/>
  <c r="C112" i="9"/>
  <c r="H65" i="9"/>
  <c r="J10" i="9"/>
  <c r="H9" i="9"/>
  <c r="G36" i="9"/>
  <c r="L24" i="9"/>
  <c r="C89" i="9"/>
  <c r="I87" i="9"/>
  <c r="G35" i="9"/>
  <c r="C9" i="9"/>
  <c r="G67" i="9"/>
  <c r="E89" i="9"/>
  <c r="H112" i="9"/>
  <c r="G98" i="9"/>
  <c r="C39" i="4"/>
  <c r="G77" i="9"/>
  <c r="D43" i="9"/>
  <c r="F66" i="9"/>
  <c r="E23" i="9"/>
  <c r="E76" i="9"/>
  <c r="D34" i="9"/>
  <c r="I21" i="9"/>
  <c r="J8" i="9"/>
  <c r="F12" i="9"/>
  <c r="H23" i="9"/>
  <c r="H87" i="9"/>
  <c r="J58" i="9"/>
  <c r="H43" i="9"/>
  <c r="C35" i="9"/>
  <c r="G108" i="9"/>
  <c r="H24" i="9"/>
  <c r="J102" i="9"/>
  <c r="G32" i="9"/>
  <c r="H42" i="9"/>
  <c r="E102" i="9"/>
  <c r="K24" i="9"/>
  <c r="G34" i="9"/>
  <c r="J80" i="9"/>
  <c r="F110" i="9"/>
  <c r="D35" i="9"/>
  <c r="G58" i="9"/>
  <c r="C86" i="9"/>
  <c r="D58" i="9"/>
  <c r="K66" i="9"/>
  <c r="D100" i="9"/>
  <c r="C56" i="9"/>
  <c r="G12" i="9"/>
  <c r="G64" i="9"/>
  <c r="D108" i="9"/>
  <c r="J33" i="9"/>
  <c r="I11" i="9"/>
  <c r="J108" i="9"/>
  <c r="E21" i="9"/>
  <c r="J79" i="9"/>
  <c r="I109" i="9"/>
  <c r="H89" i="9"/>
  <c r="H64" i="9"/>
  <c r="F36" i="9"/>
  <c r="C90" i="9"/>
  <c r="E34" i="9"/>
  <c r="J99" i="9"/>
  <c r="G9" i="9"/>
  <c r="K42" i="9"/>
  <c r="C67" i="9"/>
  <c r="G42" i="9"/>
  <c r="I34" i="9"/>
  <c r="G110" i="9"/>
  <c r="I13" i="9"/>
  <c r="G19" i="9"/>
  <c r="I79" i="9"/>
  <c r="J110" i="9"/>
  <c r="J56" i="9"/>
  <c r="H88" i="9"/>
  <c r="G8" i="9"/>
  <c r="C45" i="9"/>
  <c r="D64" i="9"/>
  <c r="J65" i="9"/>
  <c r="I67" i="9"/>
  <c r="D45" i="9"/>
  <c r="H78" i="9"/>
  <c r="F42" i="9"/>
  <c r="K88" i="9"/>
  <c r="D33" i="9"/>
  <c r="E43" i="9"/>
  <c r="D111" i="9"/>
  <c r="F10" i="9"/>
  <c r="J90" i="9"/>
  <c r="C38" i="4"/>
  <c r="G46" i="9"/>
  <c r="H90" i="9"/>
  <c r="C32" i="9"/>
  <c r="H79" i="9"/>
  <c r="I76" i="9"/>
  <c r="I12" i="9"/>
  <c r="E33" i="9"/>
  <c r="C88" i="9"/>
  <c r="C20" i="9"/>
  <c r="F19" i="9"/>
  <c r="E44" i="9"/>
  <c r="J57" i="9"/>
  <c r="H100" i="9"/>
  <c r="D90" i="9"/>
  <c r="E32" i="9"/>
  <c r="C109" i="9"/>
  <c r="D67" i="9"/>
  <c r="I100" i="9"/>
  <c r="I64" i="9"/>
  <c r="C58" i="9"/>
  <c r="J36" i="9"/>
  <c r="F86" i="9"/>
  <c r="F20" i="9"/>
  <c r="L20" i="9"/>
  <c r="I86" i="9"/>
  <c r="E45" i="9"/>
  <c r="D68" i="9"/>
  <c r="D21" i="9"/>
  <c r="C36" i="4"/>
  <c r="I99" i="9"/>
  <c r="E112" i="9"/>
  <c r="F76" i="9"/>
  <c r="C23" i="9"/>
  <c r="H108" i="9"/>
  <c r="J12" i="9"/>
  <c r="C42" i="4"/>
  <c r="C37" i="4"/>
  <c r="F89" i="9"/>
  <c r="I110" i="9"/>
  <c r="F32" i="9"/>
  <c r="D98" i="9"/>
  <c r="E57" i="9"/>
  <c r="G102" i="9"/>
  <c r="C76" i="9"/>
  <c r="C98" i="9"/>
  <c r="J13" i="9"/>
  <c r="E54" i="9"/>
  <c r="J32" i="9"/>
  <c r="E9" i="9"/>
  <c r="H101" i="9"/>
  <c r="H56" i="9"/>
  <c r="F88" i="9"/>
  <c r="F77" i="9"/>
  <c r="H55" i="9"/>
  <c r="F54" i="9"/>
  <c r="J54" i="9"/>
  <c r="E79" i="9"/>
  <c r="D42" i="9"/>
  <c r="G87" i="9"/>
  <c r="J98" i="9"/>
  <c r="D8" i="9"/>
  <c r="J45" i="9"/>
  <c r="G76" i="9"/>
  <c r="J22" i="9"/>
  <c r="D78" i="9"/>
  <c r="I35" i="9"/>
  <c r="C102" i="9"/>
  <c r="J20" i="9"/>
  <c r="F99" i="9"/>
  <c r="I23" i="9"/>
  <c r="C78" i="9"/>
  <c r="F90" i="9"/>
  <c r="H20" i="9"/>
  <c r="H54" i="9"/>
  <c r="E46" i="9"/>
  <c r="I36" i="9"/>
  <c r="J86" i="9"/>
  <c r="G57" i="9"/>
  <c r="D32" i="9"/>
  <c r="D79" i="9"/>
  <c r="E36" i="9"/>
  <c r="G86" i="9"/>
  <c r="C64" i="9"/>
  <c r="D11" i="9"/>
  <c r="D57" i="9"/>
  <c r="H11" i="9"/>
  <c r="H44" i="9"/>
  <c r="L19" i="9"/>
  <c r="K65" i="9"/>
  <c r="D89" i="9"/>
  <c r="E42" i="9"/>
  <c r="J21" i="9"/>
  <c r="C55" i="9"/>
  <c r="D44" i="9"/>
  <c r="H12" i="9"/>
  <c r="H68" i="9"/>
  <c r="C24" i="9"/>
  <c r="J109" i="9"/>
  <c r="K111" i="9"/>
  <c r="D22" i="9"/>
  <c r="K90" i="9"/>
  <c r="D112" i="9"/>
  <c r="E24" i="9"/>
  <c r="F46" i="9"/>
  <c r="J67" i="9"/>
  <c r="J9" i="9"/>
  <c r="F100" i="9"/>
  <c r="I22" i="9"/>
  <c r="I111" i="9"/>
  <c r="F13" i="9"/>
  <c r="F33" i="9"/>
  <c r="H80" i="9"/>
  <c r="H22" i="9"/>
  <c r="E67" i="9"/>
  <c r="I42" i="9"/>
  <c r="K110" i="9"/>
  <c r="H57" i="9"/>
  <c r="I9" i="9"/>
  <c r="I46" i="9"/>
  <c r="K22" i="9"/>
  <c r="C100" i="9"/>
  <c r="C10" i="9"/>
  <c r="H67" i="9"/>
  <c r="E87" i="9"/>
  <c r="G56" i="9"/>
  <c r="H77" i="9"/>
  <c r="E68" i="9"/>
  <c r="I33" i="9"/>
  <c r="D24" i="9"/>
  <c r="D55" i="9"/>
  <c r="E110" i="9"/>
  <c r="J68" i="9"/>
  <c r="L22" i="9"/>
  <c r="J23" i="9"/>
  <c r="G109" i="9"/>
  <c r="F68" i="9"/>
  <c r="I80" i="9"/>
  <c r="K44" i="9"/>
  <c r="I45" i="9"/>
  <c r="K21" i="9"/>
  <c r="H86" i="9"/>
  <c r="F87" i="9"/>
  <c r="C111" i="9"/>
  <c r="F109" i="9"/>
  <c r="C54" i="9"/>
  <c r="K86" i="9"/>
  <c r="G23" i="9"/>
  <c r="E12" i="9"/>
  <c r="D99" i="9"/>
  <c r="G54" i="9"/>
  <c r="D10" i="9"/>
  <c r="G68" i="9"/>
  <c r="E58" i="9"/>
  <c r="F102" i="9"/>
  <c r="E101" i="9"/>
  <c r="C40" i="4"/>
  <c r="H76" i="9"/>
  <c r="F23" i="9"/>
  <c r="C19" i="9"/>
  <c r="E20" i="9"/>
  <c r="C46" i="9"/>
  <c r="D110" i="9"/>
  <c r="C87" i="9"/>
  <c r="C80" i="9"/>
  <c r="G66" i="9"/>
  <c r="D66" i="9"/>
  <c r="G100" i="9"/>
  <c r="E108" i="9"/>
  <c r="E109" i="9"/>
  <c r="H8" i="9"/>
  <c r="G101" i="9"/>
  <c r="K112" i="9"/>
  <c r="G21" i="9"/>
  <c r="F8" i="9"/>
  <c r="C12" i="9"/>
  <c r="F80" i="9"/>
  <c r="K67" i="9"/>
  <c r="F58" i="9"/>
  <c r="K64" i="9"/>
  <c r="C57" i="9"/>
  <c r="G55" i="9"/>
  <c r="D19" i="9"/>
  <c r="K20" i="9"/>
  <c r="D77" i="9"/>
  <c r="J112" i="9"/>
  <c r="E19" i="9"/>
  <c r="E99" i="9"/>
  <c r="G24" i="9"/>
  <c r="J64" i="9"/>
  <c r="E10" i="9"/>
  <c r="H58" i="9"/>
  <c r="J34" i="9"/>
  <c r="I19" i="9"/>
  <c r="K89" i="9"/>
  <c r="C68" i="9"/>
  <c r="F57" i="9"/>
  <c r="E11" i="9"/>
  <c r="H99" i="9"/>
  <c r="C65" i="9"/>
  <c r="I89" i="9"/>
  <c r="C8" i="9"/>
  <c r="J76" i="9"/>
  <c r="K19" i="9"/>
  <c r="E22" i="9"/>
  <c r="G44" i="9"/>
  <c r="J44" i="9"/>
  <c r="H33" i="9"/>
  <c r="J11" i="9"/>
  <c r="C108" i="9"/>
  <c r="F9" i="9"/>
  <c r="H21" i="9"/>
  <c r="D80" i="9"/>
  <c r="I57" i="9"/>
  <c r="J77" i="9"/>
  <c r="C43" i="9"/>
  <c r="K45" i="9"/>
  <c r="I78" i="9"/>
  <c r="K108" i="9"/>
  <c r="C110" i="9"/>
  <c r="I101" i="9"/>
  <c r="I56" i="9"/>
  <c r="F108" i="9"/>
  <c r="G80" i="9"/>
  <c r="E111" i="9"/>
  <c r="F35" i="9"/>
  <c r="C44" i="9"/>
  <c r="E66" i="9"/>
  <c r="I98" i="9"/>
  <c r="D9" i="9"/>
  <c r="G45" i="9"/>
  <c r="G90" i="9"/>
  <c r="J24" i="9"/>
  <c r="H98" i="9"/>
  <c r="C66" i="9"/>
  <c r="I24" i="9"/>
  <c r="D86" i="9"/>
  <c r="H10" i="9"/>
  <c r="I20" i="9"/>
  <c r="E100" i="9"/>
  <c r="C22" i="9"/>
  <c r="H66" i="9"/>
  <c r="G43" i="9"/>
  <c r="J87" i="9"/>
  <c r="E78" i="9"/>
  <c r="D20" i="9"/>
  <c r="F111" i="9"/>
  <c r="I32" i="9"/>
  <c r="E77" i="9"/>
  <c r="F112" i="9"/>
  <c r="G13" i="9"/>
  <c r="K23" i="9"/>
  <c r="G78" i="9"/>
  <c r="I102" i="9"/>
  <c r="F78" i="9"/>
  <c r="I112" i="9"/>
  <c r="E64" i="9"/>
  <c r="I44" i="9"/>
  <c r="F22" i="9"/>
  <c r="F65" i="9"/>
  <c r="D76" i="9"/>
  <c r="G10" i="9"/>
  <c r="D12" i="9"/>
  <c r="H19" i="9"/>
  <c r="I77" i="9"/>
  <c r="F43" i="9"/>
  <c r="E65" i="9"/>
  <c r="G112" i="9"/>
  <c r="D54" i="9"/>
  <c r="C34" i="9"/>
  <c r="K68" i="9"/>
  <c r="G111" i="9"/>
  <c r="D102" i="9"/>
  <c r="F45" i="9"/>
  <c r="C79" i="9"/>
  <c r="E98" i="9"/>
  <c r="H35" i="9"/>
  <c r="J55" i="9"/>
  <c r="L21" i="9"/>
  <c r="H13" i="9"/>
  <c r="F101" i="9"/>
  <c r="E80" i="9"/>
  <c r="I10" i="9"/>
  <c r="F98" i="9"/>
  <c r="H32" i="9"/>
  <c r="G20" i="9"/>
  <c r="E13" i="9"/>
  <c r="J101" i="9"/>
  <c r="J43" i="9"/>
  <c r="J78" i="9"/>
  <c r="G33" i="9"/>
  <c r="I8" i="9"/>
  <c r="F67" i="9"/>
  <c r="C99" i="9"/>
  <c r="I88" i="9"/>
  <c r="I43" i="9"/>
  <c r="C33" i="9"/>
  <c r="I65" i="9"/>
  <c r="D109" i="9"/>
  <c r="G88" i="9"/>
  <c r="F21" i="9"/>
  <c r="J35" i="9"/>
  <c r="J66" i="9"/>
  <c r="E56" i="9"/>
  <c r="F64" i="9"/>
  <c r="F44" i="9"/>
  <c r="I68" i="9"/>
  <c r="C36" i="9"/>
  <c r="H111" i="9"/>
  <c r="C41" i="4"/>
  <c r="E35" i="9"/>
  <c r="G89" i="9"/>
  <c r="K43" i="9"/>
  <c r="F24" i="9"/>
  <c r="I58" i="9"/>
  <c r="F56" i="9"/>
  <c r="H46" i="9"/>
  <c r="L23" i="9"/>
  <c r="I54" i="9"/>
  <c r="H36" i="9"/>
  <c r="I55" i="9"/>
  <c r="J19" i="9"/>
  <c r="E55" i="9"/>
  <c r="F11" i="9"/>
  <c r="K109" i="9"/>
  <c r="C35" i="4" l="1"/>
  <c r="C19" i="5"/>
  <c r="C9" i="5"/>
  <c r="C18" i="5"/>
  <c r="C21" i="5"/>
  <c r="C8" i="5" l="1"/>
  <c r="C11" i="5"/>
  <c r="K32" i="1" l="1"/>
  <c r="C38" i="1" l="1"/>
  <c r="H34" i="1" l="1"/>
  <c r="C42" i="6" l="1"/>
  <c r="E40" i="6"/>
  <c r="C40" i="6"/>
  <c r="F40" i="6"/>
  <c r="G40" i="6"/>
  <c r="G41" i="6" l="1"/>
  <c r="F41" i="6"/>
  <c r="F42" i="6"/>
  <c r="G42" i="6"/>
  <c r="D42" i="6"/>
  <c r="E42" i="6"/>
  <c r="D44" i="6"/>
  <c r="D43" i="6"/>
  <c r="D40" i="6"/>
  <c r="F43" i="6" l="1"/>
  <c r="F44" i="6"/>
  <c r="C44" i="6"/>
  <c r="C43" i="6"/>
  <c r="E41" i="6"/>
  <c r="C41" i="6"/>
  <c r="D41" i="6"/>
  <c r="E44" i="6"/>
  <c r="E43" i="6"/>
  <c r="G44" i="6" l="1"/>
  <c r="G43" i="6"/>
  <c r="E26" i="4" l="1"/>
  <c r="E28" i="4"/>
  <c r="E25" i="4"/>
  <c r="E27" i="4"/>
  <c r="E24" i="4"/>
  <c r="E23" i="4"/>
  <c r="E22" i="4"/>
  <c r="F22" i="4"/>
  <c r="F24" i="4"/>
  <c r="F26" i="4"/>
  <c r="F23" i="4"/>
  <c r="F28" i="4"/>
  <c r="F25" i="4"/>
  <c r="F27" i="4"/>
  <c r="C23" i="4"/>
  <c r="C28" i="4"/>
  <c r="C25" i="4"/>
  <c r="C27" i="4"/>
  <c r="C24" i="4"/>
  <c r="C26" i="4"/>
  <c r="C22" i="4"/>
  <c r="D26" i="4"/>
  <c r="D28" i="4"/>
  <c r="D25" i="4"/>
  <c r="D27" i="4"/>
  <c r="D24" i="4"/>
  <c r="D23" i="4"/>
  <c r="D22" i="4"/>
  <c r="G22" i="4"/>
  <c r="G27" i="4"/>
  <c r="G24" i="4"/>
  <c r="G26" i="4"/>
  <c r="G23" i="4"/>
  <c r="G28" i="4"/>
  <c r="G25" i="4"/>
  <c r="K22" i="12"/>
  <c r="B21" i="12"/>
  <c r="N20" i="12"/>
  <c r="N23" i="12"/>
  <c r="B25" i="12"/>
  <c r="B23" i="12"/>
  <c r="K25" i="12"/>
  <c r="N25" i="12"/>
  <c r="E21" i="12"/>
  <c r="B26" i="12"/>
  <c r="B20" i="12"/>
  <c r="H20" i="12"/>
  <c r="H24" i="12"/>
  <c r="E20" i="12"/>
  <c r="N21" i="12"/>
  <c r="N22" i="12"/>
  <c r="N24" i="12"/>
  <c r="E22" i="12"/>
  <c r="K26" i="12"/>
  <c r="H23" i="12"/>
  <c r="E23" i="12"/>
  <c r="K20" i="12"/>
  <c r="H25" i="12"/>
  <c r="B22" i="12"/>
  <c r="H22" i="12"/>
  <c r="H26" i="12"/>
  <c r="B24" i="12"/>
  <c r="E24" i="12"/>
  <c r="H21" i="12"/>
  <c r="K23" i="12"/>
  <c r="E25" i="12"/>
  <c r="K24" i="12"/>
  <c r="N26" i="12"/>
  <c r="K21" i="12"/>
  <c r="E26" i="12"/>
  <c r="D12" i="4" l="1"/>
  <c r="E15" i="4"/>
  <c r="D15" i="4"/>
  <c r="D14" i="4"/>
  <c r="G9" i="4"/>
  <c r="F12" i="4"/>
  <c r="F9" i="4"/>
  <c r="F14" i="4"/>
  <c r="G13" i="4"/>
  <c r="C12" i="4"/>
  <c r="F10" i="4"/>
  <c r="E13" i="4"/>
  <c r="E12" i="4"/>
  <c r="C11" i="4"/>
  <c r="G12" i="4"/>
  <c r="F15" i="4"/>
  <c r="D9" i="4"/>
  <c r="C10" i="4"/>
  <c r="G10" i="4"/>
  <c r="G14" i="4"/>
  <c r="E14" i="4"/>
  <c r="C14" i="4"/>
  <c r="E11" i="4"/>
  <c r="G11" i="4"/>
  <c r="F11" i="4"/>
  <c r="C9" i="4"/>
  <c r="C15" i="4"/>
  <c r="D11" i="4"/>
  <c r="F13" i="4"/>
  <c r="E9" i="4"/>
  <c r="D10" i="4"/>
  <c r="E10" i="4"/>
  <c r="C13" i="4"/>
  <c r="D13" i="4"/>
  <c r="G15" i="4"/>
  <c r="C9" i="6"/>
  <c r="C11" i="6"/>
  <c r="C12" i="6"/>
  <c r="C10" i="6"/>
  <c r="C13" i="6"/>
  <c r="C14" i="6"/>
  <c r="E11" i="6"/>
  <c r="E9" i="6"/>
  <c r="E10" i="6"/>
  <c r="E14" i="6"/>
  <c r="E13" i="6"/>
  <c r="E12" i="6"/>
  <c r="G12" i="6"/>
  <c r="G10" i="6"/>
  <c r="G14" i="6"/>
  <c r="G13" i="6"/>
  <c r="G11" i="6"/>
  <c r="G9" i="6"/>
  <c r="F11" i="6"/>
  <c r="F12" i="6"/>
  <c r="F9" i="6"/>
  <c r="F10" i="6"/>
  <c r="F13" i="6"/>
  <c r="F14" i="6"/>
  <c r="D9" i="6"/>
  <c r="D10" i="6"/>
  <c r="D13" i="6"/>
  <c r="D14" i="6"/>
  <c r="D12" i="6"/>
  <c r="D11" i="6"/>
  <c r="E7" i="12"/>
  <c r="N7" i="12"/>
  <c r="K13" i="12"/>
  <c r="H12" i="12"/>
  <c r="K11" i="12"/>
  <c r="E12" i="12"/>
  <c r="N12" i="12"/>
  <c r="N11" i="12"/>
  <c r="B8" i="12"/>
  <c r="E9" i="12"/>
  <c r="K12" i="12"/>
  <c r="B9" i="12"/>
  <c r="H10" i="12"/>
  <c r="E13" i="12"/>
  <c r="K10" i="12"/>
  <c r="E11" i="12"/>
  <c r="H7" i="12"/>
  <c r="B11" i="12"/>
  <c r="B12" i="12"/>
  <c r="N10" i="12"/>
  <c r="N9" i="12"/>
  <c r="K7" i="12"/>
  <c r="H9" i="12"/>
  <c r="N13" i="12"/>
  <c r="H13" i="12"/>
  <c r="K9" i="12"/>
  <c r="E8" i="12"/>
  <c r="B10" i="12"/>
  <c r="K8" i="12"/>
  <c r="E10" i="12"/>
  <c r="H8" i="12"/>
  <c r="B7" i="12"/>
  <c r="N8" i="12"/>
  <c r="B13" i="12"/>
  <c r="H11" i="12"/>
  <c r="C37" i="1" l="1"/>
  <c r="H37" i="1" s="1"/>
</calcChain>
</file>

<file path=xl/sharedStrings.xml><?xml version="1.0" encoding="utf-8"?>
<sst xmlns="http://schemas.openxmlformats.org/spreadsheetml/2006/main" count="272" uniqueCount="137">
  <si>
    <t>Length of vertical line in [cm]:</t>
  </si>
  <si>
    <t>Length of horizontal line in [cm]:</t>
  </si>
  <si>
    <t>cm</t>
  </si>
  <si>
    <t>Flow chart</t>
  </si>
  <si>
    <t>On "B-calc" worksheet activation then delete all shapes but not controls shapes: file choosing (ComboBox1) and calcl button (CommandButton1)</t>
  </si>
  <si>
    <t>Shhet2:Private Sub Worksheet_Activate()</t>
  </si>
  <si>
    <t>ComboBox1:Private Sub ComboBox1_Change()</t>
  </si>
  <si>
    <t>On choosing a file it imports image and rescale to fit in the space provided</t>
  </si>
  <si>
    <t>Bw values for clinical use</t>
  </si>
  <si>
    <t>SSD[cm]</t>
  </si>
  <si>
    <t>HVL[mmAl]</t>
  </si>
  <si>
    <t>diam[cm]</t>
  </si>
  <si>
    <t>Filter Selection</t>
  </si>
  <si>
    <t>Applicator selection</t>
  </si>
  <si>
    <t>SSD 15cm</t>
  </si>
  <si>
    <t>SSD 25cm</t>
  </si>
  <si>
    <t>F1</t>
  </si>
  <si>
    <t>F2</t>
  </si>
  <si>
    <t>F3</t>
  </si>
  <si>
    <t>F4</t>
  </si>
  <si>
    <t>F5</t>
  </si>
  <si>
    <t>Filter</t>
  </si>
  <si>
    <t>Selected Beam type:</t>
  </si>
  <si>
    <t>Beams' dosimetric parameters for clinical use</t>
  </si>
  <si>
    <t>Beam type</t>
  </si>
  <si>
    <t>A 2cm</t>
  </si>
  <si>
    <t>B 4cm</t>
  </si>
  <si>
    <t>C 6cm</t>
  </si>
  <si>
    <t>D 8cm</t>
  </si>
  <si>
    <t>F 15cm</t>
  </si>
  <si>
    <t>E 10cm</t>
  </si>
  <si>
    <t>Applicator</t>
  </si>
  <si>
    <t>HVL [mmAl]  - measured half-value layer</t>
  </si>
  <si>
    <r>
      <t>HVL</t>
    </r>
    <r>
      <rPr>
        <b/>
        <vertAlign val="subscript"/>
        <sz val="12"/>
        <color theme="1"/>
        <rFont val="Arial"/>
        <family val="2"/>
      </rPr>
      <t xml:space="preserve"> </t>
    </r>
    <r>
      <rPr>
        <b/>
        <sz val="12"/>
        <color theme="1"/>
        <rFont val="Arial"/>
        <family val="2"/>
      </rPr>
      <t>[mmAl]</t>
    </r>
  </si>
  <si>
    <r>
      <t>D'</t>
    </r>
    <r>
      <rPr>
        <b/>
        <vertAlign val="subscript"/>
        <sz val="14"/>
        <color theme="1"/>
        <rFont val="Arial"/>
        <family val="2"/>
      </rPr>
      <t>0</t>
    </r>
    <r>
      <rPr>
        <b/>
        <sz val="14"/>
        <color theme="1"/>
        <rFont val="Arial"/>
        <family val="2"/>
      </rPr>
      <t xml:space="preserve"> [Gy/min] - Steady dose rate in water "free in air"</t>
    </r>
  </si>
  <si>
    <t>min</t>
  </si>
  <si>
    <t>Gy/min</t>
  </si>
  <si>
    <t>Prescription</t>
  </si>
  <si>
    <t>Gy</t>
  </si>
  <si>
    <t>Dose per fraction</t>
  </si>
  <si>
    <t>Prescription PDD</t>
  </si>
  <si>
    <t>%</t>
  </si>
  <si>
    <t>Patient Name</t>
  </si>
  <si>
    <t>URL</t>
  </si>
  <si>
    <t>Treatment site</t>
  </si>
  <si>
    <t>Plan ID</t>
  </si>
  <si>
    <t>Dose per fraction:</t>
  </si>
  <si>
    <t>Num. of fractions</t>
  </si>
  <si>
    <t>Total dose</t>
  </si>
  <si>
    <r>
      <t>Superficial treatment:</t>
    </r>
    <r>
      <rPr>
        <sz val="14"/>
        <color theme="1"/>
        <rFont val="Arial"/>
        <family val="2"/>
      </rPr>
      <t xml:space="preserve"> per fraction treatment time calculation</t>
    </r>
  </si>
  <si>
    <t>Backscatter estimation</t>
  </si>
  <si>
    <t>Dose to bone estimation</t>
  </si>
  <si>
    <t>Prescription PDD selection</t>
  </si>
  <si>
    <t xml:space="preserve">% of field </t>
  </si>
  <si>
    <t>Calculated timer setting:</t>
  </si>
  <si>
    <t>t (timer)</t>
  </si>
  <si>
    <t>Dosimetry for prescription isodose</t>
  </si>
  <si>
    <t>Backscatter factor</t>
  </si>
  <si>
    <r>
      <t>t</t>
    </r>
    <r>
      <rPr>
        <b/>
        <vertAlign val="subscript"/>
        <sz val="12"/>
        <color theme="1"/>
        <rFont val="Arial"/>
        <family val="2"/>
      </rPr>
      <t xml:space="preserve">shutter </t>
    </r>
    <r>
      <rPr>
        <b/>
        <sz val="12"/>
        <color theme="1"/>
        <rFont val="Arial"/>
        <family val="2"/>
      </rPr>
      <t>[min]</t>
    </r>
  </si>
  <si>
    <t xml:space="preserve">Lack of Bw corr. factor </t>
  </si>
  <si>
    <t>Prescription point Geom. data</t>
  </si>
  <si>
    <t>PDD [%]</t>
  </si>
  <si>
    <t xml:space="preserve">ISL </t>
  </si>
  <si>
    <t>kV</t>
  </si>
  <si>
    <t xml:space="preserve">kV [kV] </t>
  </si>
  <si>
    <t>Gy/frac.</t>
  </si>
  <si>
    <t xml:space="preserve">Bw </t>
  </si>
  <si>
    <t>Equivalent diameters [cm]</t>
  </si>
  <si>
    <t xml:space="preserve">Bw= </t>
  </si>
  <si>
    <t>depth[cm]</t>
  </si>
  <si>
    <t>Circular field diameter [cm]</t>
  </si>
  <si>
    <t>PDD values for clinical use</t>
  </si>
  <si>
    <r>
      <t>m</t>
    </r>
    <r>
      <rPr>
        <vertAlign val="subscript"/>
        <sz val="11"/>
        <color theme="1"/>
        <rFont val="Arial"/>
        <family val="2"/>
      </rPr>
      <t>en</t>
    </r>
    <r>
      <rPr>
        <sz val="11"/>
        <color theme="1"/>
        <rFont val="Arial"/>
        <family val="2"/>
      </rPr>
      <t>/</t>
    </r>
    <r>
      <rPr>
        <sz val="12"/>
        <color theme="1"/>
        <rFont val="Symbol"/>
        <family val="1"/>
        <charset val="2"/>
      </rPr>
      <t>r</t>
    </r>
    <r>
      <rPr>
        <sz val="11"/>
        <color theme="1"/>
        <rFont val="Arial"/>
        <family val="2"/>
      </rPr>
      <t xml:space="preserve"> [bone/w]</t>
    </r>
  </si>
  <si>
    <t xml:space="preserve">PDD at bone surf. </t>
  </si>
  <si>
    <t>SSD=15cm</t>
  </si>
  <si>
    <t>SSD=25cm</t>
  </si>
  <si>
    <t>SSD=25 cm</t>
  </si>
  <si>
    <t>HVL</t>
  </si>
  <si>
    <r>
      <t>t</t>
    </r>
    <r>
      <rPr>
        <vertAlign val="subscript"/>
        <sz val="11"/>
        <color theme="1"/>
        <rFont val="Arial"/>
        <family val="2"/>
      </rPr>
      <t>shutter</t>
    </r>
  </si>
  <si>
    <t>SSDeff</t>
  </si>
  <si>
    <t>mmAl</t>
  </si>
  <si>
    <r>
      <t>D'</t>
    </r>
    <r>
      <rPr>
        <vertAlign val="subscript"/>
        <sz val="14"/>
        <color theme="1"/>
        <rFont val="Arial"/>
        <family val="2"/>
      </rPr>
      <t>0</t>
    </r>
  </si>
  <si>
    <t>Planner RT</t>
  </si>
  <si>
    <t>Total Dose</t>
  </si>
  <si>
    <t># of fractions</t>
  </si>
  <si>
    <r>
      <t>PDD</t>
    </r>
    <r>
      <rPr>
        <vertAlign val="subscript"/>
        <sz val="11"/>
        <color theme="1"/>
        <rFont val="Arial"/>
        <family val="2"/>
      </rPr>
      <t>prescr.</t>
    </r>
  </si>
  <si>
    <t>air gap</t>
  </si>
  <si>
    <t>depth</t>
  </si>
  <si>
    <t xml:space="preserve">depth [cm] </t>
  </si>
  <si>
    <t>Lack.Bw.corr</t>
  </si>
  <si>
    <t>ISL</t>
  </si>
  <si>
    <t>Back Scatter calculation</t>
  </si>
  <si>
    <t>Eq. circ. diam.</t>
  </si>
  <si>
    <t>PDD</t>
  </si>
  <si>
    <t>Time calculation</t>
  </si>
  <si>
    <t>Total dose to bone</t>
  </si>
  <si>
    <t xml:space="preserve">per fraction </t>
  </si>
  <si>
    <t>Dose rate</t>
  </si>
  <si>
    <t>t(timer)</t>
  </si>
  <si>
    <t>Beam eye view</t>
  </si>
  <si>
    <t>Cross section</t>
  </si>
  <si>
    <t>Lack of backscatter estimation</t>
  </si>
  <si>
    <t>Dose/fract.</t>
  </si>
  <si>
    <t xml:space="preserve">Eq.circle diam </t>
  </si>
  <si>
    <t xml:space="preserve">SSDeff </t>
  </si>
  <si>
    <t xml:space="preserve">Dose rate </t>
  </si>
  <si>
    <r>
      <t>D'</t>
    </r>
    <r>
      <rPr>
        <b/>
        <vertAlign val="subscript"/>
        <sz val="11"/>
        <color theme="1"/>
        <rFont val="Arial"/>
        <family val="2"/>
      </rPr>
      <t xml:space="preserve">0 </t>
    </r>
  </si>
  <si>
    <r>
      <t>t</t>
    </r>
    <r>
      <rPr>
        <b/>
        <vertAlign val="subscript"/>
        <sz val="11"/>
        <color theme="1"/>
        <rFont val="Arial"/>
        <family val="2"/>
      </rPr>
      <t xml:space="preserve">shutter </t>
    </r>
  </si>
  <si>
    <r>
      <t>m</t>
    </r>
    <r>
      <rPr>
        <b/>
        <vertAlign val="subscript"/>
        <sz val="14"/>
        <color theme="1"/>
        <rFont val="Arial"/>
        <family val="2"/>
      </rPr>
      <t>en</t>
    </r>
    <r>
      <rPr>
        <b/>
        <sz val="14"/>
        <color theme="1"/>
        <rFont val="Arial"/>
        <family val="2"/>
      </rPr>
      <t>/</t>
    </r>
    <r>
      <rPr>
        <b/>
        <sz val="14"/>
        <color theme="1"/>
        <rFont val="Symbol"/>
        <family val="1"/>
        <charset val="2"/>
      </rPr>
      <t>r</t>
    </r>
    <r>
      <rPr>
        <b/>
        <sz val="14"/>
        <color theme="1"/>
        <rFont val="Arial"/>
        <family val="2"/>
      </rPr>
      <t xml:space="preserve"> [bone/w]</t>
    </r>
  </si>
  <si>
    <t xml:space="preserve">HVL [mmAl]            </t>
  </si>
  <si>
    <t xml:space="preserve">Planning date: </t>
  </si>
  <si>
    <t xml:space="preserve">Verification date: </t>
  </si>
  <si>
    <t>B:Backscatter</t>
  </si>
  <si>
    <t>B</t>
  </si>
  <si>
    <t>Verificator</t>
  </si>
  <si>
    <t xml:space="preserve">a - major diameter [cm] </t>
  </si>
  <si>
    <t xml:space="preserve">b -minor diameter [cm] </t>
  </si>
  <si>
    <t xml:space="preserve">a [cm] </t>
  </si>
  <si>
    <t xml:space="preserve">b [cm] </t>
  </si>
  <si>
    <t>Oval (Circle: a=b=diameter)</t>
  </si>
  <si>
    <t>Bw for rectangular and oval cutouts</t>
  </si>
  <si>
    <t>Rectangle (Square: a=b)</t>
  </si>
  <si>
    <t xml:space="preserve">Presc. point: air gap [cm] </t>
  </si>
  <si>
    <t xml:space="preserve">air gap [cm] </t>
  </si>
  <si>
    <t>cm diameter</t>
  </si>
  <si>
    <t>Applicator diameter</t>
  </si>
  <si>
    <t>equiv. diameter</t>
  </si>
  <si>
    <t xml:space="preserve"> Calculated using minumun(equiv. diameter, Applic. diameter)</t>
  </si>
  <si>
    <t>Linear extrapolation</t>
  </si>
  <si>
    <t>F1 - HVL=0.19mmAl</t>
  </si>
  <si>
    <t>F2 - HVL=0.81mmAl</t>
  </si>
  <si>
    <t>F3  - HVL=2.0mmAl</t>
  </si>
  <si>
    <t>F4 - HVL=2.6mmAl</t>
  </si>
  <si>
    <t>F5 - HVL=4.0mmAl</t>
  </si>
  <si>
    <r>
      <t>m</t>
    </r>
    <r>
      <rPr>
        <b/>
        <vertAlign val="subscript"/>
        <sz val="11"/>
        <color theme="1"/>
        <rFont val="Arial"/>
        <family val="2"/>
      </rPr>
      <t>en</t>
    </r>
    <r>
      <rPr>
        <b/>
        <sz val="11"/>
        <color theme="1"/>
        <rFont val="Arial"/>
        <family val="2"/>
      </rPr>
      <t>/</t>
    </r>
    <r>
      <rPr>
        <b/>
        <sz val="11"/>
        <color theme="1"/>
        <rFont val="Symbol"/>
        <family val="1"/>
        <charset val="2"/>
      </rPr>
      <t>r</t>
    </r>
    <r>
      <rPr>
        <b/>
        <sz val="11"/>
        <color theme="1"/>
        <rFont val="Arial"/>
        <family val="2"/>
      </rPr>
      <t xml:space="preserve"> [bone/w]</t>
    </r>
  </si>
  <si>
    <r>
      <t>t</t>
    </r>
    <r>
      <rPr>
        <b/>
        <vertAlign val="subscript"/>
        <sz val="14"/>
        <color theme="1"/>
        <rFont val="Arial"/>
        <family val="2"/>
      </rPr>
      <t>shutter</t>
    </r>
    <r>
      <rPr>
        <b/>
        <sz val="14"/>
        <color theme="1"/>
        <rFont val="Arial"/>
        <family val="2"/>
      </rPr>
      <t xml:space="preserve"> [min]  - timer correction for shooter effect</t>
    </r>
  </si>
  <si>
    <r>
      <t>SSD</t>
    </r>
    <r>
      <rPr>
        <b/>
        <vertAlign val="subscript"/>
        <sz val="14"/>
        <color theme="1"/>
        <rFont val="Arial"/>
        <family val="2"/>
      </rPr>
      <t xml:space="preserve">eff </t>
    </r>
    <r>
      <rPr>
        <b/>
        <sz val="14"/>
        <color theme="1"/>
        <rFont val="Arial"/>
        <family val="2"/>
      </rPr>
      <t>[cm]  - measured effective SSD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</si>
</sst>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"/>
    <numFmt numFmtId="165" formatCode="_ * #,##0_ ;_ * \-#,##0_ ;_ * &quot;-&quot;_ ;_ @_ "/>
    <numFmt numFmtId="166" formatCode="_ * #,##0.00_ ;_ * \-#,##0.00_ ;_ * &quot;-&quot;??_ ;_ @_ "/>
    <numFmt numFmtId="167" formatCode="_ &quot;$&quot;* #,##0_ ;_ &quot;$&quot;* \-#,##0_ ;_ &quot;$&quot;* &quot;-&quot;_ ;_ @_ "/>
    <numFmt numFmtId="168" formatCode="_ &quot;$&quot;* #,##0.00_ ;_ &quot;$&quot;* \-#,##0.00_ ;_ &quot;$&quot;* &quot;-&quot;??_ ;_ @_ "/>
    <numFmt numFmtId="169" formatCode="0.0%"/>
    <numFmt numFmtId="170" formatCode="0.0"/>
    <numFmt numFmtId="171" formatCode="[$-1009]mmmm\ d\,\ yyyy;@"/>
  </numFmts>
  <fonts count="57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0"/>
      <name val="Arial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9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5"/>
      <name val="Arial"/>
      <family val="2"/>
    </font>
    <font>
      <b/>
      <sz val="12"/>
      <color theme="5"/>
      <name val="Arial"/>
      <family val="2"/>
    </font>
    <font>
      <b/>
      <sz val="14"/>
      <color rgb="FF00B050"/>
      <name val="Arial"/>
      <family val="2"/>
    </font>
    <font>
      <sz val="10"/>
      <color theme="1"/>
      <name val="Arial"/>
      <family val="2"/>
    </font>
    <font>
      <sz val="14"/>
      <color theme="1"/>
      <name val="Arial"/>
      <family val="2"/>
    </font>
    <font>
      <b/>
      <vertAlign val="subscript"/>
      <sz val="11"/>
      <color theme="1"/>
      <name val="Arial"/>
      <family val="2"/>
    </font>
    <font>
      <b/>
      <vertAlign val="subscript"/>
      <sz val="12"/>
      <color theme="1"/>
      <name val="Arial"/>
      <family val="2"/>
    </font>
    <font>
      <b/>
      <sz val="14"/>
      <color theme="1"/>
      <name val="Arial"/>
      <family val="2"/>
    </font>
    <font>
      <b/>
      <vertAlign val="subscript"/>
      <sz val="14"/>
      <color theme="1"/>
      <name val="Arial"/>
      <family val="2"/>
    </font>
    <font>
      <b/>
      <sz val="14"/>
      <color rgb="FF9966FF"/>
      <name val="Arial"/>
      <family val="2"/>
    </font>
    <font>
      <b/>
      <sz val="14"/>
      <color rgb="FFD06800"/>
      <name val="Arial"/>
      <family val="2"/>
    </font>
    <font>
      <b/>
      <sz val="14"/>
      <color theme="0" tint="-0.74999237037263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1"/>
      <color theme="1"/>
      <name val="Arial"/>
      <family val="2"/>
    </font>
    <font>
      <vertAlign val="subscript"/>
      <sz val="14"/>
      <color theme="1"/>
      <name val="Arial"/>
      <family val="2"/>
    </font>
    <font>
      <b/>
      <sz val="14"/>
      <color theme="1"/>
      <name val="Symbol"/>
      <family val="1"/>
      <charset val="2"/>
    </font>
    <font>
      <b/>
      <sz val="12"/>
      <color rgb="FFFF0000"/>
      <name val="Arial"/>
      <family val="2"/>
    </font>
    <font>
      <b/>
      <sz val="10"/>
      <color rgb="FFFF0000"/>
      <name val="Arial"/>
      <family val="2"/>
    </font>
    <font>
      <b/>
      <sz val="12"/>
      <color rgb="FF00B050"/>
      <name val="Arial"/>
      <family val="2"/>
    </font>
    <font>
      <b/>
      <sz val="10"/>
      <color rgb="FF00B05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Symbol"/>
      <family val="1"/>
      <charset val="2"/>
    </font>
    <font>
      <sz val="11"/>
      <color theme="1"/>
      <name val="Times New Roman"/>
      <family val="1"/>
    </font>
  </fonts>
  <fills count="4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rgb="FFCCFF3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6EF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6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17" borderId="10" applyNumberFormat="0" applyAlignment="0" applyProtection="0"/>
    <xf numFmtId="0" fontId="10" fillId="0" borderId="11" applyNumberFormat="0" applyFill="0" applyAlignment="0" applyProtection="0"/>
    <xf numFmtId="0" fontId="6" fillId="18" borderId="12" applyNumberFormat="0" applyFont="0" applyAlignment="0" applyProtection="0"/>
    <xf numFmtId="0" fontId="11" fillId="8" borderId="10" applyNumberFormat="0" applyAlignment="0" applyProtection="0"/>
    <xf numFmtId="0" fontId="12" fillId="4" borderId="0" applyNumberFormat="0" applyBorder="0" applyAlignment="0" applyProtection="0"/>
    <xf numFmtId="165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168" fontId="13" fillId="0" borderId="0" applyFont="0" applyFill="0" applyBorder="0" applyAlignment="0" applyProtection="0"/>
    <xf numFmtId="0" fontId="14" fillId="19" borderId="0" applyNumberFormat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5" fillId="5" borderId="0" applyNumberFormat="0" applyBorder="0" applyAlignment="0" applyProtection="0"/>
    <xf numFmtId="0" fontId="16" fillId="17" borderId="13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4" applyNumberFormat="0" applyFill="0" applyAlignment="0" applyProtection="0"/>
    <xf numFmtId="0" fontId="20" fillId="0" borderId="15" applyNumberFormat="0" applyFill="0" applyAlignment="0" applyProtection="0"/>
    <xf numFmtId="0" fontId="21" fillId="0" borderId="16" applyNumberFormat="0" applyFill="0" applyAlignment="0" applyProtection="0"/>
    <xf numFmtId="0" fontId="21" fillId="0" borderId="0" applyNumberFormat="0" applyFill="0" applyBorder="0" applyAlignment="0" applyProtection="0"/>
    <xf numFmtId="0" fontId="22" fillId="20" borderId="17" applyNumberFormat="0" applyAlignment="0" applyProtection="0"/>
    <xf numFmtId="9" fontId="24" fillId="0" borderId="0" applyFont="0" applyFill="0" applyBorder="0" applyAlignment="0" applyProtection="0"/>
    <xf numFmtId="0" fontId="39" fillId="27" borderId="0" applyNumberFormat="0" applyBorder="0" applyAlignment="0" applyProtection="0"/>
  </cellStyleXfs>
  <cellXfs count="242">
    <xf numFmtId="0" fontId="0" fillId="0" borderId="0" xfId="0"/>
    <xf numFmtId="2" fontId="0" fillId="2" borderId="1" xfId="0" applyNumberFormat="1" applyFill="1" applyBorder="1"/>
    <xf numFmtId="0" fontId="1" fillId="0" borderId="0" xfId="0" applyFont="1"/>
    <xf numFmtId="0" fontId="2" fillId="0" borderId="0" xfId="0" applyFont="1"/>
    <xf numFmtId="0" fontId="3" fillId="0" borderId="0" xfId="0" applyFont="1"/>
    <xf numFmtId="0" fontId="2" fillId="0" borderId="0" xfId="0" applyFont="1" applyBorder="1"/>
    <xf numFmtId="0" fontId="23" fillId="0" borderId="0" xfId="0" applyFont="1"/>
    <xf numFmtId="164" fontId="0" fillId="0" borderId="0" xfId="0" applyNumberFormat="1"/>
    <xf numFmtId="169" fontId="0" fillId="0" borderId="0" xfId="41" applyNumberFormat="1" applyFont="1"/>
    <xf numFmtId="0" fontId="27" fillId="0" borderId="0" xfId="0" applyFont="1"/>
    <xf numFmtId="0" fontId="3" fillId="23" borderId="28" xfId="0" applyFont="1" applyFill="1" applyBorder="1" applyAlignment="1">
      <alignment horizontal="center"/>
    </xf>
    <xf numFmtId="0" fontId="3" fillId="23" borderId="29" xfId="0" applyFont="1" applyFill="1" applyBorder="1" applyAlignment="1">
      <alignment horizontal="center"/>
    </xf>
    <xf numFmtId="0" fontId="3" fillId="23" borderId="30" xfId="0" applyFont="1" applyFill="1" applyBorder="1" applyAlignment="1">
      <alignment horizontal="center"/>
    </xf>
    <xf numFmtId="0" fontId="3" fillId="24" borderId="31" xfId="0" applyFont="1" applyFill="1" applyBorder="1"/>
    <xf numFmtId="2" fontId="2" fillId="0" borderId="9" xfId="0" applyNumberFormat="1" applyFont="1" applyBorder="1" applyAlignment="1">
      <alignment horizontal="center"/>
    </xf>
    <xf numFmtId="0" fontId="3" fillId="24" borderId="32" xfId="0" applyFont="1" applyFill="1" applyBorder="1"/>
    <xf numFmtId="0" fontId="3" fillId="24" borderId="33" xfId="0" applyFont="1" applyFill="1" applyBorder="1"/>
    <xf numFmtId="0" fontId="1" fillId="0" borderId="0" xfId="0" applyFont="1" applyAlignment="1"/>
    <xf numFmtId="0" fontId="3" fillId="23" borderId="34" xfId="0" applyFont="1" applyFill="1" applyBorder="1" applyAlignment="1">
      <alignment horizontal="center"/>
    </xf>
    <xf numFmtId="0" fontId="3" fillId="23" borderId="35" xfId="0" applyFont="1" applyFill="1" applyBorder="1" applyAlignment="1">
      <alignment horizontal="center"/>
    </xf>
    <xf numFmtId="0" fontId="3" fillId="23" borderId="36" xfId="0" applyFont="1" applyFill="1" applyBorder="1" applyAlignment="1">
      <alignment horizontal="center"/>
    </xf>
    <xf numFmtId="2" fontId="2" fillId="0" borderId="28" xfId="0" applyNumberFormat="1" applyFont="1" applyBorder="1" applyAlignment="1">
      <alignment horizontal="center"/>
    </xf>
    <xf numFmtId="2" fontId="2" fillId="0" borderId="29" xfId="0" applyNumberFormat="1" applyFont="1" applyBorder="1" applyAlignment="1">
      <alignment horizontal="center"/>
    </xf>
    <xf numFmtId="2" fontId="2" fillId="0" borderId="30" xfId="0" applyNumberFormat="1" applyFont="1" applyBorder="1" applyAlignment="1">
      <alignment horizontal="center"/>
    </xf>
    <xf numFmtId="0" fontId="32" fillId="0" borderId="0" xfId="0" applyFont="1"/>
    <xf numFmtId="0" fontId="2" fillId="23" borderId="1" xfId="0" applyFont="1" applyFill="1" applyBorder="1" applyAlignment="1">
      <alignment horizontal="center"/>
    </xf>
    <xf numFmtId="0" fontId="2" fillId="25" borderId="1" xfId="0" applyFont="1" applyFill="1" applyBorder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2" fontId="2" fillId="25" borderId="1" xfId="0" applyNumberFormat="1" applyFont="1" applyFill="1" applyBorder="1"/>
    <xf numFmtId="164" fontId="2" fillId="25" borderId="1" xfId="0" applyNumberFormat="1" applyFont="1" applyFill="1" applyBorder="1" applyAlignment="1">
      <alignment horizontal="center"/>
    </xf>
    <xf numFmtId="2" fontId="2" fillId="25" borderId="1" xfId="0" applyNumberFormat="1" applyFont="1" applyFill="1" applyBorder="1" applyAlignment="1">
      <alignment horizontal="center"/>
    </xf>
    <xf numFmtId="0" fontId="2" fillId="0" borderId="0" xfId="0" applyFont="1" applyAlignment="1"/>
    <xf numFmtId="164" fontId="1" fillId="25" borderId="1" xfId="0" applyNumberFormat="1" applyFont="1" applyFill="1" applyBorder="1" applyAlignment="1">
      <alignment horizontal="center"/>
    </xf>
    <xf numFmtId="2" fontId="1" fillId="25" borderId="1" xfId="0" applyNumberFormat="1" applyFont="1" applyFill="1" applyBorder="1" applyAlignment="1">
      <alignment horizontal="center"/>
    </xf>
    <xf numFmtId="2" fontId="2" fillId="23" borderId="1" xfId="0" applyNumberFormat="1" applyFont="1" applyFill="1" applyBorder="1"/>
    <xf numFmtId="164" fontId="2" fillId="24" borderId="1" xfId="0" applyNumberFormat="1" applyFont="1" applyFill="1" applyBorder="1"/>
    <xf numFmtId="170" fontId="2" fillId="23" borderId="1" xfId="0" applyNumberFormat="1" applyFont="1" applyFill="1" applyBorder="1" applyAlignment="1">
      <alignment horizontal="center"/>
    </xf>
    <xf numFmtId="0" fontId="28" fillId="0" borderId="37" xfId="0" applyFont="1" applyBorder="1" applyAlignment="1">
      <alignment horizontal="center"/>
    </xf>
    <xf numFmtId="0" fontId="28" fillId="0" borderId="38" xfId="0" applyFont="1" applyBorder="1" applyAlignment="1">
      <alignment horizontal="center"/>
    </xf>
    <xf numFmtId="0" fontId="28" fillId="0" borderId="39" xfId="0" applyFont="1" applyBorder="1" applyAlignment="1">
      <alignment horizontal="center"/>
    </xf>
    <xf numFmtId="170" fontId="2" fillId="26" borderId="1" xfId="0" applyNumberFormat="1" applyFont="1" applyFill="1" applyBorder="1" applyProtection="1">
      <protection locked="0"/>
    </xf>
    <xf numFmtId="0" fontId="2" fillId="26" borderId="1" xfId="0" applyFont="1" applyFill="1" applyBorder="1" applyProtection="1">
      <protection locked="0"/>
    </xf>
    <xf numFmtId="0" fontId="2" fillId="0" borderId="0" xfId="0" applyFont="1" applyAlignment="1">
      <alignment horizontal="right"/>
    </xf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0" fontId="37" fillId="0" borderId="0" xfId="0" applyFont="1"/>
    <xf numFmtId="0" fontId="37" fillId="0" borderId="0" xfId="0" applyFont="1" applyAlignment="1">
      <alignment horizontal="right"/>
    </xf>
    <xf numFmtId="0" fontId="38" fillId="0" borderId="0" xfId="0" applyFont="1"/>
    <xf numFmtId="164" fontId="4" fillId="0" borderId="40" xfId="0" applyNumberFormat="1" applyFont="1" applyBorder="1" applyAlignment="1">
      <alignment vertical="center"/>
    </xf>
    <xf numFmtId="164" fontId="4" fillId="0" borderId="41" xfId="0" applyNumberFormat="1" applyFont="1" applyBorder="1" applyAlignment="1">
      <alignment vertical="center"/>
    </xf>
    <xf numFmtId="164" fontId="4" fillId="0" borderId="25" xfId="0" applyNumberFormat="1" applyFont="1" applyBorder="1" applyAlignment="1">
      <alignment vertical="center"/>
    </xf>
    <xf numFmtId="164" fontId="4" fillId="0" borderId="1" xfId="0" applyNumberFormat="1" applyFont="1" applyBorder="1" applyAlignment="1">
      <alignment vertical="center"/>
    </xf>
    <xf numFmtId="2" fontId="5" fillId="0" borderId="40" xfId="0" applyNumberFormat="1" applyFont="1" applyBorder="1" applyAlignment="1">
      <alignment horizontal="center" vertical="center"/>
    </xf>
    <xf numFmtId="2" fontId="5" fillId="0" borderId="41" xfId="0" applyNumberFormat="1" applyFont="1" applyBorder="1" applyAlignment="1">
      <alignment horizontal="center" vertical="center"/>
    </xf>
    <xf numFmtId="2" fontId="5" fillId="0" borderId="25" xfId="0" applyNumberFormat="1" applyFont="1" applyBorder="1" applyAlignment="1">
      <alignment horizontal="center" vertical="center"/>
    </xf>
    <xf numFmtId="0" fontId="41" fillId="0" borderId="0" xfId="0" applyFont="1" applyAlignment="1">
      <alignment horizontal="right"/>
    </xf>
    <xf numFmtId="164" fontId="42" fillId="25" borderId="1" xfId="0" applyNumberFormat="1" applyFont="1" applyFill="1" applyBorder="1"/>
    <xf numFmtId="0" fontId="43" fillId="0" borderId="0" xfId="0" applyFont="1"/>
    <xf numFmtId="170" fontId="2" fillId="25" borderId="1" xfId="0" applyNumberFormat="1" applyFont="1" applyFill="1" applyBorder="1"/>
    <xf numFmtId="0" fontId="44" fillId="0" borderId="0" xfId="0" applyFont="1"/>
    <xf numFmtId="0" fontId="40" fillId="0" borderId="0" xfId="0" applyFont="1"/>
    <xf numFmtId="170" fontId="45" fillId="27" borderId="1" xfId="42" applyNumberFormat="1" applyFont="1" applyBorder="1" applyProtection="1">
      <protection locked="0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46" fillId="0" borderId="0" xfId="0" applyFont="1"/>
    <xf numFmtId="164" fontId="2" fillId="0" borderId="0" xfId="0" applyNumberFormat="1" applyFont="1"/>
    <xf numFmtId="0" fontId="4" fillId="0" borderId="1" xfId="0" applyFont="1" applyBorder="1" applyAlignment="1">
      <alignment horizontal="center" vertical="center"/>
    </xf>
    <xf numFmtId="0" fontId="25" fillId="36" borderId="8" xfId="0" applyFont="1" applyFill="1" applyBorder="1"/>
    <xf numFmtId="0" fontId="26" fillId="36" borderId="8" xfId="0" applyFont="1" applyFill="1" applyBorder="1"/>
    <xf numFmtId="0" fontId="2" fillId="36" borderId="8" xfId="0" applyFont="1" applyFill="1" applyBorder="1"/>
    <xf numFmtId="0" fontId="27" fillId="28" borderId="8" xfId="0" applyFont="1" applyFill="1" applyBorder="1"/>
    <xf numFmtId="0" fontId="2" fillId="28" borderId="8" xfId="0" applyFont="1" applyFill="1" applyBorder="1"/>
    <xf numFmtId="0" fontId="34" fillId="33" borderId="8" xfId="0" applyFont="1" applyFill="1" applyBorder="1"/>
    <xf numFmtId="0" fontId="2" fillId="33" borderId="8" xfId="0" applyFont="1" applyFill="1" applyBorder="1"/>
    <xf numFmtId="0" fontId="35" fillId="37" borderId="8" xfId="0" applyFont="1" applyFill="1" applyBorder="1"/>
    <xf numFmtId="0" fontId="2" fillId="37" borderId="8" xfId="0" applyFont="1" applyFill="1" applyBorder="1"/>
    <xf numFmtId="0" fontId="36" fillId="37" borderId="8" xfId="0" applyFont="1" applyFill="1" applyBorder="1"/>
    <xf numFmtId="0" fontId="2" fillId="0" borderId="42" xfId="0" applyFont="1" applyBorder="1"/>
    <xf numFmtId="0" fontId="32" fillId="38" borderId="42" xfId="0" applyFont="1" applyFill="1" applyBorder="1"/>
    <xf numFmtId="0" fontId="2" fillId="38" borderId="42" xfId="0" applyFont="1" applyFill="1" applyBorder="1"/>
    <xf numFmtId="0" fontId="29" fillId="0" borderId="0" xfId="0" applyFont="1"/>
    <xf numFmtId="0" fontId="42" fillId="0" borderId="0" xfId="0" applyFont="1"/>
    <xf numFmtId="0" fontId="46" fillId="0" borderId="0" xfId="0" applyFont="1" applyAlignment="1">
      <alignment horizontal="right"/>
    </xf>
    <xf numFmtId="2" fontId="5" fillId="0" borderId="4" xfId="0" applyNumberFormat="1" applyFont="1" applyBorder="1" applyAlignment="1">
      <alignment horizontal="center" vertical="center"/>
    </xf>
    <xf numFmtId="2" fontId="5" fillId="0" borderId="6" xfId="0" applyNumberFormat="1" applyFont="1" applyBorder="1" applyAlignment="1">
      <alignment horizontal="center" vertical="center"/>
    </xf>
    <xf numFmtId="2" fontId="5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170" fontId="37" fillId="25" borderId="1" xfId="0" applyNumberFormat="1" applyFont="1" applyFill="1" applyBorder="1" applyAlignment="1">
      <alignment horizontal="center"/>
    </xf>
    <xf numFmtId="2" fontId="2" fillId="0" borderId="0" xfId="0" applyNumberFormat="1" applyFont="1"/>
    <xf numFmtId="2" fontId="42" fillId="0" borderId="0" xfId="0" applyNumberFormat="1" applyFont="1"/>
    <xf numFmtId="0" fontId="29" fillId="0" borderId="0" xfId="0" applyFont="1" applyAlignment="1">
      <alignment horizontal="right"/>
    </xf>
    <xf numFmtId="170" fontId="2" fillId="0" borderId="0" xfId="0" applyNumberFormat="1" applyFont="1"/>
    <xf numFmtId="1" fontId="2" fillId="0" borderId="0" xfId="0" applyNumberFormat="1" applyFont="1"/>
    <xf numFmtId="164" fontId="1" fillId="0" borderId="0" xfId="0" applyNumberFormat="1" applyFont="1"/>
    <xf numFmtId="0" fontId="4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1" fontId="2" fillId="25" borderId="1" xfId="0" applyNumberFormat="1" applyFont="1" applyFill="1" applyBorder="1"/>
    <xf numFmtId="0" fontId="1" fillId="0" borderId="0" xfId="0" applyFont="1" applyAlignment="1">
      <alignment horizontal="right"/>
    </xf>
    <xf numFmtId="0" fontId="1" fillId="23" borderId="1" xfId="0" applyFont="1" applyFill="1" applyBorder="1" applyAlignment="1">
      <alignment horizontal="center"/>
    </xf>
    <xf numFmtId="0" fontId="1" fillId="24" borderId="1" xfId="0" applyFont="1" applyFill="1" applyBorder="1" applyAlignment="1">
      <alignment horizontal="center"/>
    </xf>
    <xf numFmtId="0" fontId="2" fillId="0" borderId="0" xfId="0" applyFont="1" applyFill="1" applyBorder="1"/>
    <xf numFmtId="0" fontId="49" fillId="0" borderId="0" xfId="0" applyFont="1"/>
    <xf numFmtId="0" fontId="2" fillId="0" borderId="0" xfId="0" applyFont="1" applyAlignment="1">
      <alignment horizontal="right"/>
    </xf>
    <xf numFmtId="2" fontId="2" fillId="0" borderId="0" xfId="0" applyNumberFormat="1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70" fontId="2" fillId="0" borderId="0" xfId="0" applyNumberFormat="1" applyFont="1" applyFill="1" applyBorder="1" applyAlignment="1">
      <alignment horizontal="center"/>
    </xf>
    <xf numFmtId="0" fontId="2" fillId="24" borderId="1" xfId="0" applyFont="1" applyFill="1" applyBorder="1" applyProtection="1">
      <protection locked="0"/>
    </xf>
    <xf numFmtId="0" fontId="50" fillId="0" borderId="0" xfId="0" applyFont="1" applyAlignment="1">
      <alignment horizontal="right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right"/>
    </xf>
    <xf numFmtId="170" fontId="42" fillId="24" borderId="1" xfId="0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0" fontId="23" fillId="0" borderId="0" xfId="0" applyFont="1" applyFill="1" applyBorder="1"/>
    <xf numFmtId="0" fontId="3" fillId="35" borderId="0" xfId="0" applyFont="1" applyFill="1" applyBorder="1" applyAlignment="1">
      <alignment horizontal="left"/>
    </xf>
    <xf numFmtId="170" fontId="2" fillId="0" borderId="9" xfId="0" applyNumberFormat="1" applyFont="1" applyBorder="1" applyAlignment="1">
      <alignment horizontal="center"/>
    </xf>
    <xf numFmtId="2" fontId="2" fillId="0" borderId="43" xfId="0" applyNumberFormat="1" applyFont="1" applyBorder="1" applyAlignment="1">
      <alignment horizontal="center"/>
    </xf>
    <xf numFmtId="2" fontId="2" fillId="0" borderId="44" xfId="0" applyNumberFormat="1" applyFont="1" applyBorder="1" applyAlignment="1">
      <alignment horizontal="center"/>
    </xf>
    <xf numFmtId="2" fontId="2" fillId="0" borderId="45" xfId="0" applyNumberFormat="1" applyFont="1" applyBorder="1" applyAlignment="1">
      <alignment horizontal="center"/>
    </xf>
    <xf numFmtId="170" fontId="2" fillId="0" borderId="43" xfId="0" applyNumberFormat="1" applyFont="1" applyBorder="1" applyAlignment="1">
      <alignment horizontal="center"/>
    </xf>
    <xf numFmtId="170" fontId="2" fillId="0" borderId="46" xfId="0" applyNumberFormat="1" applyFont="1" applyBorder="1" applyAlignment="1">
      <alignment horizontal="center"/>
    </xf>
    <xf numFmtId="170" fontId="2" fillId="0" borderId="47" xfId="0" applyNumberFormat="1" applyFont="1" applyBorder="1" applyAlignment="1">
      <alignment horizontal="center"/>
    </xf>
    <xf numFmtId="170" fontId="2" fillId="0" borderId="48" xfId="0" applyNumberFormat="1" applyFont="1" applyBorder="1" applyAlignment="1">
      <alignment horizontal="center"/>
    </xf>
    <xf numFmtId="170" fontId="2" fillId="0" borderId="49" xfId="0" applyNumberFormat="1" applyFont="1" applyBorder="1" applyAlignment="1">
      <alignment horizontal="center"/>
    </xf>
    <xf numFmtId="170" fontId="2" fillId="0" borderId="50" xfId="0" applyNumberFormat="1" applyFont="1" applyBorder="1" applyAlignment="1">
      <alignment horizontal="center"/>
    </xf>
    <xf numFmtId="170" fontId="2" fillId="0" borderId="51" xfId="0" applyNumberFormat="1" applyFont="1" applyBorder="1" applyAlignment="1">
      <alignment horizontal="center"/>
    </xf>
    <xf numFmtId="170" fontId="2" fillId="0" borderId="52" xfId="0" applyNumberFormat="1" applyFont="1" applyBorder="1" applyAlignment="1">
      <alignment horizontal="center"/>
    </xf>
    <xf numFmtId="2" fontId="3" fillId="23" borderId="18" xfId="0" applyNumberFormat="1" applyFont="1" applyFill="1" applyBorder="1" applyAlignment="1">
      <alignment horizontal="center" vertical="center"/>
    </xf>
    <xf numFmtId="2" fontId="3" fillId="23" borderId="19" xfId="0" applyNumberFormat="1" applyFont="1" applyFill="1" applyBorder="1" applyAlignment="1">
      <alignment horizontal="center" vertical="center"/>
    </xf>
    <xf numFmtId="2" fontId="3" fillId="23" borderId="20" xfId="0" applyNumberFormat="1" applyFont="1" applyFill="1" applyBorder="1" applyAlignment="1">
      <alignment horizontal="center" vertical="center"/>
    </xf>
    <xf numFmtId="0" fontId="3" fillId="24" borderId="40" xfId="0" applyFont="1" applyFill="1" applyBorder="1" applyAlignment="1">
      <alignment vertical="center"/>
    </xf>
    <xf numFmtId="164" fontId="2" fillId="28" borderId="1" xfId="0" applyNumberFormat="1" applyFont="1" applyFill="1" applyBorder="1" applyAlignment="1">
      <alignment horizontal="center" vertical="center"/>
    </xf>
    <xf numFmtId="0" fontId="3" fillId="24" borderId="41" xfId="0" applyFont="1" applyFill="1" applyBorder="1" applyAlignment="1">
      <alignment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24" borderId="25" xfId="0" applyFont="1" applyFill="1" applyBorder="1" applyAlignment="1">
      <alignment vertical="center"/>
    </xf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2" fillId="28" borderId="40" xfId="0" applyNumberFormat="1" applyFont="1" applyFill="1" applyBorder="1" applyAlignment="1">
      <alignment horizontal="center" vertical="center"/>
    </xf>
    <xf numFmtId="0" fontId="3" fillId="24" borderId="5" xfId="0" applyFont="1" applyFill="1" applyBorder="1" applyAlignment="1">
      <alignment vertical="center"/>
    </xf>
    <xf numFmtId="0" fontId="3" fillId="24" borderId="7" xfId="0" applyFont="1" applyFill="1" applyBorder="1" applyAlignment="1">
      <alignment vertical="center"/>
    </xf>
    <xf numFmtId="0" fontId="56" fillId="0" borderId="6" xfId="0" applyFont="1" applyBorder="1" applyAlignment="1">
      <alignment vertical="center"/>
    </xf>
    <xf numFmtId="0" fontId="55" fillId="0" borderId="0" xfId="0" applyFont="1" applyAlignment="1">
      <alignment horizontal="center"/>
    </xf>
    <xf numFmtId="1" fontId="56" fillId="0" borderId="40" xfId="0" applyNumberFormat="1" applyFont="1" applyBorder="1" applyAlignment="1">
      <alignment horizontal="center" vertical="center"/>
    </xf>
    <xf numFmtId="0" fontId="3" fillId="25" borderId="40" xfId="0" applyFont="1" applyFill="1" applyBorder="1" applyAlignment="1">
      <alignment vertical="center"/>
    </xf>
    <xf numFmtId="1" fontId="56" fillId="25" borderId="40" xfId="0" applyNumberFormat="1" applyFont="1" applyFill="1" applyBorder="1" applyAlignment="1">
      <alignment horizontal="center" vertical="center"/>
    </xf>
    <xf numFmtId="0" fontId="2" fillId="25" borderId="0" xfId="0" applyFont="1" applyFill="1"/>
    <xf numFmtId="2" fontId="56" fillId="0" borderId="40" xfId="0" applyNumberFormat="1" applyFont="1" applyFill="1" applyBorder="1" applyAlignment="1">
      <alignment horizontal="center" vertical="center"/>
    </xf>
    <xf numFmtId="2" fontId="56" fillId="0" borderId="41" xfId="0" applyNumberFormat="1" applyFont="1" applyFill="1" applyBorder="1" applyAlignment="1">
      <alignment horizontal="center" vertical="center"/>
    </xf>
    <xf numFmtId="2" fontId="56" fillId="0" borderId="25" xfId="0" applyNumberFormat="1" applyFont="1" applyFill="1" applyBorder="1" applyAlignment="1">
      <alignment horizontal="center" vertical="center"/>
    </xf>
    <xf numFmtId="0" fontId="32" fillId="0" borderId="0" xfId="0" applyFont="1" applyAlignment="1"/>
    <xf numFmtId="0" fontId="0" fillId="0" borderId="0" xfId="0" applyFont="1"/>
    <xf numFmtId="1" fontId="3" fillId="35" borderId="18" xfId="0" applyNumberFormat="1" applyFont="1" applyFill="1" applyBorder="1" applyAlignment="1">
      <alignment horizontal="center" vertical="center"/>
    </xf>
    <xf numFmtId="0" fontId="3" fillId="35" borderId="19" xfId="0" applyFont="1" applyFill="1" applyBorder="1" applyAlignment="1">
      <alignment horizontal="center" vertical="center"/>
    </xf>
    <xf numFmtId="0" fontId="3" fillId="35" borderId="20" xfId="0" applyFont="1" applyFill="1" applyBorder="1" applyAlignment="1">
      <alignment horizontal="center" vertical="center"/>
    </xf>
    <xf numFmtId="170" fontId="3" fillId="34" borderId="40" xfId="0" applyNumberFormat="1" applyFont="1" applyFill="1" applyBorder="1" applyAlignment="1">
      <alignment vertical="center"/>
    </xf>
    <xf numFmtId="170" fontId="2" fillId="0" borderId="5" xfId="0" applyNumberFormat="1" applyFont="1" applyBorder="1" applyAlignment="1">
      <alignment horizontal="center" vertical="center"/>
    </xf>
    <xf numFmtId="170" fontId="2" fillId="0" borderId="0" xfId="0" applyNumberFormat="1" applyFont="1" applyBorder="1" applyAlignment="1">
      <alignment horizontal="center" vertical="center"/>
    </xf>
    <xf numFmtId="170" fontId="2" fillId="0" borderId="6" xfId="0" applyNumberFormat="1" applyFont="1" applyBorder="1" applyAlignment="1">
      <alignment horizontal="center" vertical="center"/>
    </xf>
    <xf numFmtId="170" fontId="3" fillId="34" borderId="41" xfId="0" applyNumberFormat="1" applyFont="1" applyFill="1" applyBorder="1" applyAlignment="1">
      <alignment vertical="center"/>
    </xf>
    <xf numFmtId="170" fontId="3" fillId="34" borderId="25" xfId="0" applyNumberFormat="1" applyFont="1" applyFill="1" applyBorder="1" applyAlignment="1">
      <alignment vertical="center"/>
    </xf>
    <xf numFmtId="170" fontId="2" fillId="0" borderId="7" xfId="0" applyNumberFormat="1" applyFont="1" applyBorder="1" applyAlignment="1">
      <alignment horizontal="center" vertical="center"/>
    </xf>
    <xf numFmtId="170" fontId="2" fillId="0" borderId="8" xfId="0" applyNumberFormat="1" applyFont="1" applyBorder="1" applyAlignment="1">
      <alignment horizontal="center" vertical="center"/>
    </xf>
    <xf numFmtId="170" fontId="2" fillId="0" borderId="9" xfId="0" applyNumberFormat="1" applyFont="1" applyBorder="1" applyAlignment="1">
      <alignment horizontal="center" vertical="center"/>
    </xf>
    <xf numFmtId="170" fontId="2" fillId="0" borderId="2" xfId="0" applyNumberFormat="1" applyFont="1" applyBorder="1" applyAlignment="1">
      <alignment horizontal="center" vertical="center"/>
    </xf>
    <xf numFmtId="170" fontId="2" fillId="0" borderId="3" xfId="0" applyNumberFormat="1" applyFont="1" applyBorder="1" applyAlignment="1">
      <alignment horizontal="center" vertical="center"/>
    </xf>
    <xf numFmtId="170" fontId="2" fillId="0" borderId="4" xfId="0" applyNumberFormat="1" applyFont="1" applyBorder="1" applyAlignment="1">
      <alignment horizontal="center" vertical="center"/>
    </xf>
    <xf numFmtId="0" fontId="1" fillId="28" borderId="0" xfId="0" applyFont="1" applyFill="1"/>
    <xf numFmtId="0" fontId="1" fillId="33" borderId="0" xfId="0" applyFont="1" applyFill="1"/>
    <xf numFmtId="0" fontId="32" fillId="28" borderId="0" xfId="0" applyFont="1" applyFill="1"/>
    <xf numFmtId="0" fontId="32" fillId="33" borderId="0" xfId="0" applyFont="1" applyFill="1" applyAlignment="1">
      <alignment horizontal="center"/>
    </xf>
    <xf numFmtId="0" fontId="32" fillId="33" borderId="0" xfId="0" applyFont="1" applyFill="1"/>
    <xf numFmtId="0" fontId="32" fillId="28" borderId="0" xfId="0" applyFont="1" applyFill="1" applyAlignment="1">
      <alignment horizontal="center"/>
    </xf>
    <xf numFmtId="170" fontId="3" fillId="34" borderId="2" xfId="0" applyNumberFormat="1" applyFont="1" applyFill="1" applyBorder="1" applyAlignment="1">
      <alignment vertical="center"/>
    </xf>
    <xf numFmtId="170" fontId="3" fillId="34" borderId="5" xfId="0" applyNumberFormat="1" applyFont="1" applyFill="1" applyBorder="1" applyAlignment="1">
      <alignment vertical="center"/>
    </xf>
    <xf numFmtId="170" fontId="3" fillId="34" borderId="7" xfId="0" applyNumberFormat="1" applyFont="1" applyFill="1" applyBorder="1" applyAlignment="1">
      <alignment vertical="center"/>
    </xf>
    <xf numFmtId="1" fontId="3" fillId="35" borderId="2" xfId="0" applyNumberFormat="1" applyFont="1" applyFill="1" applyBorder="1" applyAlignment="1">
      <alignment horizontal="center" vertical="center"/>
    </xf>
    <xf numFmtId="0" fontId="3" fillId="35" borderId="3" xfId="0" applyFont="1" applyFill="1" applyBorder="1" applyAlignment="1">
      <alignment horizontal="center" vertical="center"/>
    </xf>
    <xf numFmtId="0" fontId="3" fillId="35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2" fillId="0" borderId="0" xfId="0" applyFont="1" applyFill="1" applyAlignment="1">
      <alignment horizontal="right"/>
    </xf>
    <xf numFmtId="0" fontId="2" fillId="0" borderId="0" xfId="0" applyFont="1" applyFill="1" applyBorder="1" applyAlignment="1">
      <alignment horizontal="center"/>
    </xf>
    <xf numFmtId="0" fontId="37" fillId="0" borderId="0" xfId="0" applyFont="1" applyAlignment="1">
      <alignment horizontal="left"/>
    </xf>
    <xf numFmtId="2" fontId="3" fillId="25" borderId="1" xfId="0" applyNumberFormat="1" applyFont="1" applyFill="1" applyBorder="1"/>
    <xf numFmtId="0" fontId="2" fillId="26" borderId="1" xfId="0" applyFont="1" applyFill="1" applyBorder="1" applyAlignment="1" applyProtection="1">
      <alignment horizontal="center"/>
      <protection hidden="1"/>
    </xf>
    <xf numFmtId="0" fontId="3" fillId="0" borderId="0" xfId="0" applyFont="1" applyBorder="1" applyAlignment="1">
      <alignment horizontal="right"/>
    </xf>
    <xf numFmtId="0" fontId="3" fillId="0" borderId="6" xfId="0" applyFont="1" applyBorder="1" applyAlignment="1">
      <alignment horizontal="right"/>
    </xf>
    <xf numFmtId="0" fontId="2" fillId="0" borderId="0" xfId="0" applyFont="1" applyBorder="1" applyAlignment="1">
      <alignment horizontal="right"/>
    </xf>
    <xf numFmtId="0" fontId="3" fillId="21" borderId="18" xfId="0" applyFont="1" applyFill="1" applyBorder="1" applyAlignment="1">
      <alignment horizontal="center"/>
    </xf>
    <xf numFmtId="0" fontId="3" fillId="21" borderId="19" xfId="0" applyFont="1" applyFill="1" applyBorder="1" applyAlignment="1">
      <alignment horizontal="center"/>
    </xf>
    <xf numFmtId="0" fontId="3" fillId="21" borderId="20" xfId="0" applyFont="1" applyFill="1" applyBorder="1" applyAlignment="1">
      <alignment horizontal="center"/>
    </xf>
    <xf numFmtId="0" fontId="3" fillId="22" borderId="18" xfId="0" applyFont="1" applyFill="1" applyBorder="1" applyAlignment="1">
      <alignment horizontal="center"/>
    </xf>
    <xf numFmtId="0" fontId="3" fillId="22" borderId="20" xfId="0" applyFont="1" applyFill="1" applyBorder="1" applyAlignment="1">
      <alignment horizontal="center"/>
    </xf>
    <xf numFmtId="0" fontId="2" fillId="26" borderId="18" xfId="0" applyFont="1" applyFill="1" applyBorder="1" applyAlignment="1" applyProtection="1">
      <alignment horizontal="left"/>
      <protection locked="0"/>
    </xf>
    <xf numFmtId="0" fontId="2" fillId="26" borderId="19" xfId="0" applyFont="1" applyFill="1" applyBorder="1" applyAlignment="1" applyProtection="1">
      <alignment horizontal="left"/>
      <protection locked="0"/>
    </xf>
    <xf numFmtId="0" fontId="2" fillId="26" borderId="20" xfId="0" applyFont="1" applyFill="1" applyBorder="1" applyAlignment="1" applyProtection="1">
      <alignment horizontal="left"/>
      <protection locked="0"/>
    </xf>
    <xf numFmtId="0" fontId="2" fillId="26" borderId="18" xfId="0" applyFont="1" applyFill="1" applyBorder="1" applyAlignment="1" applyProtection="1">
      <alignment horizontal="center"/>
      <protection locked="0"/>
    </xf>
    <xf numFmtId="0" fontId="2" fillId="26" borderId="20" xfId="0" applyFont="1" applyFill="1" applyBorder="1" applyAlignment="1" applyProtection="1">
      <alignment horizontal="center"/>
      <protection locked="0"/>
    </xf>
    <xf numFmtId="0" fontId="3" fillId="39" borderId="0" xfId="0" applyFont="1" applyFill="1" applyAlignment="1">
      <alignment horizontal="left"/>
    </xf>
    <xf numFmtId="0" fontId="3" fillId="39" borderId="6" xfId="0" applyFont="1" applyFill="1" applyBorder="1" applyAlignment="1">
      <alignment horizontal="left"/>
    </xf>
    <xf numFmtId="0" fontId="2" fillId="28" borderId="18" xfId="0" applyFont="1" applyFill="1" applyBorder="1" applyAlignment="1" applyProtection="1">
      <alignment horizontal="left"/>
      <protection locked="0"/>
    </xf>
    <xf numFmtId="0" fontId="2" fillId="28" borderId="19" xfId="0" applyFont="1" applyFill="1" applyBorder="1" applyAlignment="1" applyProtection="1">
      <alignment horizontal="left"/>
      <protection locked="0"/>
    </xf>
    <xf numFmtId="0" fontId="2" fillId="28" borderId="20" xfId="0" applyFont="1" applyFill="1" applyBorder="1" applyAlignment="1" applyProtection="1">
      <alignment horizontal="left"/>
      <protection locked="0"/>
    </xf>
    <xf numFmtId="171" fontId="2" fillId="26" borderId="18" xfId="0" applyNumberFormat="1" applyFont="1" applyFill="1" applyBorder="1" applyAlignment="1" applyProtection="1">
      <alignment horizontal="left"/>
      <protection locked="0"/>
    </xf>
    <xf numFmtId="171" fontId="2" fillId="26" borderId="20" xfId="0" applyNumberFormat="1" applyFont="1" applyFill="1" applyBorder="1" applyAlignment="1" applyProtection="1">
      <alignment horizontal="left"/>
      <protection locked="0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3" fillId="23" borderId="24" xfId="0" applyFont="1" applyFill="1" applyBorder="1" applyAlignment="1">
      <alignment horizontal="center"/>
    </xf>
    <xf numFmtId="0" fontId="3" fillId="23" borderId="26" xfId="0" applyFont="1" applyFill="1" applyBorder="1" applyAlignment="1">
      <alignment horizontal="center"/>
    </xf>
    <xf numFmtId="0" fontId="3" fillId="23" borderId="27" xfId="0" applyFont="1" applyFill="1" applyBorder="1" applyAlignment="1">
      <alignment horizontal="center"/>
    </xf>
    <xf numFmtId="0" fontId="3" fillId="24" borderId="21" xfId="0" applyFont="1" applyFill="1" applyBorder="1" applyAlignment="1">
      <alignment horizontal="center" vertical="center" textRotation="90"/>
    </xf>
    <xf numFmtId="0" fontId="3" fillId="24" borderId="22" xfId="0" applyFont="1" applyFill="1" applyBorder="1" applyAlignment="1">
      <alignment horizontal="center" vertical="center" textRotation="90"/>
    </xf>
    <xf numFmtId="0" fontId="3" fillId="24" borderId="23" xfId="0" applyFont="1" applyFill="1" applyBorder="1" applyAlignment="1">
      <alignment horizontal="center" vertical="center" textRotation="90"/>
    </xf>
    <xf numFmtId="0" fontId="3" fillId="23" borderId="18" xfId="0" applyFont="1" applyFill="1" applyBorder="1" applyAlignment="1">
      <alignment horizontal="left"/>
    </xf>
    <xf numFmtId="0" fontId="3" fillId="23" borderId="19" xfId="0" applyFont="1" applyFill="1" applyBorder="1" applyAlignment="1">
      <alignment horizontal="left"/>
    </xf>
    <xf numFmtId="0" fontId="3" fillId="23" borderId="20" xfId="0" applyFont="1" applyFill="1" applyBorder="1" applyAlignment="1">
      <alignment horizontal="left"/>
    </xf>
    <xf numFmtId="0" fontId="3" fillId="24" borderId="6" xfId="0" applyFont="1" applyFill="1" applyBorder="1" applyAlignment="1">
      <alignment horizontal="right" vertical="center" textRotation="90"/>
    </xf>
    <xf numFmtId="0" fontId="3" fillId="24" borderId="6" xfId="0" applyFont="1" applyFill="1" applyBorder="1" applyAlignment="1">
      <alignment horizontal="center" vertical="center" textRotation="90"/>
    </xf>
    <xf numFmtId="0" fontId="3" fillId="35" borderId="0" xfId="0" applyFont="1" applyFill="1" applyBorder="1" applyAlignment="1">
      <alignment horizontal="left"/>
    </xf>
    <xf numFmtId="0" fontId="3" fillId="34" borderId="6" xfId="0" applyFont="1" applyFill="1" applyBorder="1" applyAlignment="1">
      <alignment horizontal="right" vertical="center" textRotation="90"/>
    </xf>
    <xf numFmtId="0" fontId="44" fillId="29" borderId="18" xfId="0" applyFont="1" applyFill="1" applyBorder="1" applyAlignment="1">
      <alignment horizontal="center"/>
    </xf>
    <xf numFmtId="0" fontId="44" fillId="29" borderId="19" xfId="0" applyFont="1" applyFill="1" applyBorder="1" applyAlignment="1">
      <alignment horizontal="center"/>
    </xf>
    <xf numFmtId="0" fontId="44" fillId="29" borderId="20" xfId="0" applyFont="1" applyFill="1" applyBorder="1" applyAlignment="1">
      <alignment horizontal="center"/>
    </xf>
    <xf numFmtId="0" fontId="23" fillId="32" borderId="18" xfId="0" applyFont="1" applyFill="1" applyBorder="1" applyAlignment="1">
      <alignment horizontal="center"/>
    </xf>
    <xf numFmtId="0" fontId="23" fillId="32" borderId="19" xfId="0" applyFont="1" applyFill="1" applyBorder="1" applyAlignment="1">
      <alignment horizontal="center"/>
    </xf>
    <xf numFmtId="0" fontId="23" fillId="32" borderId="20" xfId="0" applyFont="1" applyFill="1" applyBorder="1" applyAlignment="1">
      <alignment horizontal="center"/>
    </xf>
    <xf numFmtId="0" fontId="23" fillId="30" borderId="18" xfId="0" applyFont="1" applyFill="1" applyBorder="1" applyAlignment="1">
      <alignment horizontal="center"/>
    </xf>
    <xf numFmtId="0" fontId="23" fillId="30" borderId="19" xfId="0" applyFont="1" applyFill="1" applyBorder="1" applyAlignment="1">
      <alignment horizontal="center"/>
    </xf>
    <xf numFmtId="0" fontId="23" fillId="30" borderId="20" xfId="0" applyFont="1" applyFill="1" applyBorder="1" applyAlignment="1">
      <alignment horizontal="center"/>
    </xf>
    <xf numFmtId="0" fontId="54" fillId="31" borderId="18" xfId="0" applyFont="1" applyFill="1" applyBorder="1" applyAlignment="1">
      <alignment horizontal="center"/>
    </xf>
    <xf numFmtId="0" fontId="54" fillId="31" borderId="19" xfId="0" applyFont="1" applyFill="1" applyBorder="1" applyAlignment="1">
      <alignment horizontal="center"/>
    </xf>
    <xf numFmtId="0" fontId="54" fillId="31" borderId="20" xfId="0" applyFont="1" applyFill="1" applyBorder="1" applyAlignment="1">
      <alignment horizontal="center"/>
    </xf>
  </cellXfs>
  <cellStyles count="43">
    <cellStyle name="20 % - Accent1" xfId="1"/>
    <cellStyle name="20 % - Accent2" xfId="2"/>
    <cellStyle name="20 % - Accent3" xfId="3"/>
    <cellStyle name="20 % - Accent4" xfId="4"/>
    <cellStyle name="20 % - Accent5" xfId="5"/>
    <cellStyle name="20 % - Accent6" xfId="6"/>
    <cellStyle name="40 % - Accent1" xfId="7"/>
    <cellStyle name="40 % - Accent2" xfId="8"/>
    <cellStyle name="40 % - Accent3" xfId="9"/>
    <cellStyle name="40 % - Accent4" xfId="10"/>
    <cellStyle name="40 % - Accent5" xfId="11"/>
    <cellStyle name="40 % - Accent6" xfId="12"/>
    <cellStyle name="60 % - Accent1" xfId="13"/>
    <cellStyle name="60 % - Accent2" xfId="14"/>
    <cellStyle name="60 % - Accent3" xfId="15"/>
    <cellStyle name="60 % - Accent4" xfId="16"/>
    <cellStyle name="60 % - Accent5" xfId="17"/>
    <cellStyle name="60 % - Accent6" xfId="18"/>
    <cellStyle name="Avertissement" xfId="19"/>
    <cellStyle name="Calcul" xfId="20"/>
    <cellStyle name="Cellule liée" xfId="21"/>
    <cellStyle name="Commentaire" xfId="22"/>
    <cellStyle name="Entrée" xfId="23"/>
    <cellStyle name="Good" xfId="42" builtinId="26"/>
    <cellStyle name="Insatisfaisant" xfId="24"/>
    <cellStyle name="Millares [0]_Módulo1" xfId="25"/>
    <cellStyle name="Millares_Módulo1" xfId="26"/>
    <cellStyle name="Moneda [0]_Módulo1" xfId="27"/>
    <cellStyle name="Moneda_Módulo1" xfId="28"/>
    <cellStyle name="Neutre" xfId="29"/>
    <cellStyle name="Normal" xfId="0" builtinId="0"/>
    <cellStyle name="Normal 2" xfId="30"/>
    <cellStyle name="Percent" xfId="41" builtinId="5"/>
    <cellStyle name="Percent 2" xfId="31"/>
    <cellStyle name="Satisfaisant" xfId="32"/>
    <cellStyle name="Sortie" xfId="33"/>
    <cellStyle name="Texte explicatif" xfId="34"/>
    <cellStyle name="Titre" xfId="35"/>
    <cellStyle name="Titre 1" xfId="36"/>
    <cellStyle name="Titre 2" xfId="37"/>
    <cellStyle name="Titre 3" xfId="38"/>
    <cellStyle name="Titre 4" xfId="39"/>
    <cellStyle name="Vérification" xfId="4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CCFF"/>
      <color rgb="FFCCFF99"/>
      <color rgb="FF4D4D4D"/>
      <color rgb="FF660033"/>
      <color rgb="FFFFFFFF"/>
      <color rgb="FFFFFF99"/>
      <color rgb="FF9966FF"/>
      <color rgb="FF996600"/>
      <color rgb="FFD068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18" Type="http://schemas.openxmlformats.org/officeDocument/2006/relationships/image" Target="../media/image18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17" Type="http://schemas.openxmlformats.org/officeDocument/2006/relationships/image" Target="../media/image1.emf"/><Relationship Id="rId2" Type="http://schemas.openxmlformats.org/officeDocument/2006/relationships/image" Target="../media/image16.emf"/><Relationship Id="rId16" Type="http://schemas.openxmlformats.org/officeDocument/2006/relationships/image" Target="../media/image2.emf"/><Relationship Id="rId20" Type="http://schemas.openxmlformats.org/officeDocument/2006/relationships/image" Target="../media/image20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5" Type="http://schemas.openxmlformats.org/officeDocument/2006/relationships/image" Target="../media/image3.emf"/><Relationship Id="rId10" Type="http://schemas.openxmlformats.org/officeDocument/2006/relationships/image" Target="../media/image8.emf"/><Relationship Id="rId19" Type="http://schemas.openxmlformats.org/officeDocument/2006/relationships/image" Target="../media/image19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3" Type="http://schemas.openxmlformats.org/officeDocument/2006/relationships/image" Target="../media/image26.emf"/><Relationship Id="rId7" Type="http://schemas.openxmlformats.org/officeDocument/2006/relationships/image" Target="../media/image30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9.emf"/><Relationship Id="rId5" Type="http://schemas.openxmlformats.org/officeDocument/2006/relationships/image" Target="../media/image28.emf"/><Relationship Id="rId10" Type="http://schemas.openxmlformats.org/officeDocument/2006/relationships/image" Target="../media/image33.emf"/><Relationship Id="rId4" Type="http://schemas.openxmlformats.org/officeDocument/2006/relationships/image" Target="../media/image27.emf"/><Relationship Id="rId9" Type="http://schemas.openxmlformats.org/officeDocument/2006/relationships/image" Target="../media/image3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8</xdr:row>
          <xdr:rowOff>76200</xdr:rowOff>
        </xdr:from>
        <xdr:to>
          <xdr:col>2</xdr:col>
          <xdr:colOff>142875</xdr:colOff>
          <xdr:row>10</xdr:row>
          <xdr:rowOff>123825</xdr:rowOff>
        </xdr:to>
        <xdr:sp macro="" textlink="">
          <xdr:nvSpPr>
            <xdr:cNvPr id="3091" name="F1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8</xdr:row>
          <xdr:rowOff>76200</xdr:rowOff>
        </xdr:from>
        <xdr:to>
          <xdr:col>3</xdr:col>
          <xdr:colOff>409575</xdr:colOff>
          <xdr:row>10</xdr:row>
          <xdr:rowOff>123825</xdr:rowOff>
        </xdr:to>
        <xdr:sp macro="" textlink="">
          <xdr:nvSpPr>
            <xdr:cNvPr id="3092" name="F2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76200</xdr:rowOff>
        </xdr:from>
        <xdr:to>
          <xdr:col>5</xdr:col>
          <xdr:colOff>76200</xdr:colOff>
          <xdr:row>10</xdr:row>
          <xdr:rowOff>123825</xdr:rowOff>
        </xdr:to>
        <xdr:sp macro="" textlink="">
          <xdr:nvSpPr>
            <xdr:cNvPr id="3093" name="F3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8</xdr:row>
          <xdr:rowOff>76200</xdr:rowOff>
        </xdr:from>
        <xdr:to>
          <xdr:col>6</xdr:col>
          <xdr:colOff>342900</xdr:colOff>
          <xdr:row>10</xdr:row>
          <xdr:rowOff>123825</xdr:rowOff>
        </xdr:to>
        <xdr:sp macro="" textlink="">
          <xdr:nvSpPr>
            <xdr:cNvPr id="3094" name="F4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552450</xdr:colOff>
          <xdr:row>8</xdr:row>
          <xdr:rowOff>76200</xdr:rowOff>
        </xdr:from>
        <xdr:to>
          <xdr:col>8</xdr:col>
          <xdr:colOff>9525</xdr:colOff>
          <xdr:row>10</xdr:row>
          <xdr:rowOff>123825</xdr:rowOff>
        </xdr:to>
        <xdr:sp macro="" textlink="">
          <xdr:nvSpPr>
            <xdr:cNvPr id="3095" name="F5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14</xdr:row>
          <xdr:rowOff>76200</xdr:rowOff>
        </xdr:from>
        <xdr:to>
          <xdr:col>1</xdr:col>
          <xdr:colOff>542925</xdr:colOff>
          <xdr:row>16</xdr:row>
          <xdr:rowOff>123825</xdr:rowOff>
        </xdr:to>
        <xdr:sp macro="" textlink="">
          <xdr:nvSpPr>
            <xdr:cNvPr id="3096" name="Appl_A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14</xdr:row>
          <xdr:rowOff>66675</xdr:rowOff>
        </xdr:from>
        <xdr:to>
          <xdr:col>2</xdr:col>
          <xdr:colOff>542925</xdr:colOff>
          <xdr:row>16</xdr:row>
          <xdr:rowOff>114300</xdr:rowOff>
        </xdr:to>
        <xdr:sp macro="" textlink="">
          <xdr:nvSpPr>
            <xdr:cNvPr id="3097" name="Appl_B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14</xdr:row>
          <xdr:rowOff>76200</xdr:rowOff>
        </xdr:from>
        <xdr:to>
          <xdr:col>3</xdr:col>
          <xdr:colOff>542925</xdr:colOff>
          <xdr:row>16</xdr:row>
          <xdr:rowOff>123825</xdr:rowOff>
        </xdr:to>
        <xdr:sp macro="" textlink="">
          <xdr:nvSpPr>
            <xdr:cNvPr id="3098" name="Appl_C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14</xdr:row>
          <xdr:rowOff>76200</xdr:rowOff>
        </xdr:from>
        <xdr:to>
          <xdr:col>4</xdr:col>
          <xdr:colOff>542925</xdr:colOff>
          <xdr:row>16</xdr:row>
          <xdr:rowOff>123825</xdr:rowOff>
        </xdr:to>
        <xdr:sp macro="" textlink="">
          <xdr:nvSpPr>
            <xdr:cNvPr id="3099" name="Appl_D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14</xdr:row>
          <xdr:rowOff>66675</xdr:rowOff>
        </xdr:from>
        <xdr:to>
          <xdr:col>6</xdr:col>
          <xdr:colOff>542925</xdr:colOff>
          <xdr:row>16</xdr:row>
          <xdr:rowOff>114300</xdr:rowOff>
        </xdr:to>
        <xdr:sp macro="" textlink="">
          <xdr:nvSpPr>
            <xdr:cNvPr id="3100" name="Appl_E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14</xdr:row>
          <xdr:rowOff>66675</xdr:rowOff>
        </xdr:from>
        <xdr:to>
          <xdr:col>7</xdr:col>
          <xdr:colOff>542925</xdr:colOff>
          <xdr:row>16</xdr:row>
          <xdr:rowOff>114300</xdr:rowOff>
        </xdr:to>
        <xdr:sp macro="" textlink="">
          <xdr:nvSpPr>
            <xdr:cNvPr id="3101" name="Appl_F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18</xdr:row>
          <xdr:rowOff>76200</xdr:rowOff>
        </xdr:from>
        <xdr:to>
          <xdr:col>1</xdr:col>
          <xdr:colOff>542925</xdr:colOff>
          <xdr:row>20</xdr:row>
          <xdr:rowOff>114300</xdr:rowOff>
        </xdr:to>
        <xdr:sp macro="" textlink="">
          <xdr:nvSpPr>
            <xdr:cNvPr id="3102" name="PDD9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85725</xdr:rowOff>
        </xdr:from>
        <xdr:to>
          <xdr:col>2</xdr:col>
          <xdr:colOff>542925</xdr:colOff>
          <xdr:row>20</xdr:row>
          <xdr:rowOff>123825</xdr:rowOff>
        </xdr:to>
        <xdr:sp macro="" textlink="">
          <xdr:nvSpPr>
            <xdr:cNvPr id="3103" name="PDD80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18</xdr:row>
          <xdr:rowOff>85725</xdr:rowOff>
        </xdr:from>
        <xdr:to>
          <xdr:col>3</xdr:col>
          <xdr:colOff>542925</xdr:colOff>
          <xdr:row>20</xdr:row>
          <xdr:rowOff>123825</xdr:rowOff>
        </xdr:to>
        <xdr:sp macro="" textlink="">
          <xdr:nvSpPr>
            <xdr:cNvPr id="3104" name="PDD_other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22</xdr:row>
          <xdr:rowOff>66675</xdr:rowOff>
        </xdr:from>
        <xdr:to>
          <xdr:col>2</xdr:col>
          <xdr:colOff>190500</xdr:colOff>
          <xdr:row>24</xdr:row>
          <xdr:rowOff>114300</xdr:rowOff>
        </xdr:to>
        <xdr:sp macro="" textlink="">
          <xdr:nvSpPr>
            <xdr:cNvPr id="3105" name="Bw_circle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22</xdr:row>
          <xdr:rowOff>66675</xdr:rowOff>
        </xdr:from>
        <xdr:to>
          <xdr:col>3</xdr:col>
          <xdr:colOff>257175</xdr:colOff>
          <xdr:row>24</xdr:row>
          <xdr:rowOff>114300</xdr:rowOff>
        </xdr:to>
        <xdr:sp macro="" textlink="">
          <xdr:nvSpPr>
            <xdr:cNvPr id="3106" name="Bw_oval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22</xdr:row>
          <xdr:rowOff>66675</xdr:rowOff>
        </xdr:from>
        <xdr:to>
          <xdr:col>4</xdr:col>
          <xdr:colOff>304800</xdr:colOff>
          <xdr:row>24</xdr:row>
          <xdr:rowOff>114300</xdr:rowOff>
        </xdr:to>
        <xdr:sp macro="" textlink="">
          <xdr:nvSpPr>
            <xdr:cNvPr id="3107" name="Bw_irreg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24</xdr:row>
          <xdr:rowOff>161925</xdr:rowOff>
        </xdr:from>
        <xdr:to>
          <xdr:col>2</xdr:col>
          <xdr:colOff>581025</xdr:colOff>
          <xdr:row>27</xdr:row>
          <xdr:rowOff>38100</xdr:rowOff>
        </xdr:to>
        <xdr:sp macro="" textlink="">
          <xdr:nvSpPr>
            <xdr:cNvPr id="3109" name="Bw_partial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22</xdr:row>
          <xdr:rowOff>76200</xdr:rowOff>
        </xdr:from>
        <xdr:to>
          <xdr:col>6</xdr:col>
          <xdr:colOff>9525</xdr:colOff>
          <xdr:row>24</xdr:row>
          <xdr:rowOff>123825</xdr:rowOff>
        </xdr:to>
        <xdr:sp macro="" textlink="">
          <xdr:nvSpPr>
            <xdr:cNvPr id="3110" name="Bone_Dose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476250</xdr:colOff>
          <xdr:row>28</xdr:row>
          <xdr:rowOff>66675</xdr:rowOff>
        </xdr:from>
        <xdr:to>
          <xdr:col>14</xdr:col>
          <xdr:colOff>657225</xdr:colOff>
          <xdr:row>30</xdr:row>
          <xdr:rowOff>171450</xdr:rowOff>
        </xdr:to>
        <xdr:sp macro="" textlink="">
          <xdr:nvSpPr>
            <xdr:cNvPr id="3112" name="Verify_calc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0</xdr:row>
          <xdr:rowOff>95250</xdr:rowOff>
        </xdr:from>
        <xdr:to>
          <xdr:col>6</xdr:col>
          <xdr:colOff>438150</xdr:colOff>
          <xdr:row>1</xdr:row>
          <xdr:rowOff>142875</xdr:rowOff>
        </xdr:to>
        <xdr:sp macro="" textlink="">
          <xdr:nvSpPr>
            <xdr:cNvPr id="2056" name="ComboBox1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35</xdr:row>
          <xdr:rowOff>57150</xdr:rowOff>
        </xdr:from>
        <xdr:to>
          <xdr:col>3</xdr:col>
          <xdr:colOff>533400</xdr:colOff>
          <xdr:row>38</xdr:row>
          <xdr:rowOff>57150</xdr:rowOff>
        </xdr:to>
        <xdr:sp macro="" textlink="">
          <xdr:nvSpPr>
            <xdr:cNvPr id="2059" name="CommandButton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35</xdr:row>
          <xdr:rowOff>57150</xdr:rowOff>
        </xdr:from>
        <xdr:to>
          <xdr:col>8</xdr:col>
          <xdr:colOff>533400</xdr:colOff>
          <xdr:row>38</xdr:row>
          <xdr:rowOff>57150</xdr:rowOff>
        </xdr:to>
        <xdr:sp macro="" textlink="">
          <xdr:nvSpPr>
            <xdr:cNvPr id="2066" name="CommandButton2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</xdr:row>
          <xdr:rowOff>28575</xdr:rowOff>
        </xdr:from>
        <xdr:to>
          <xdr:col>3</xdr:col>
          <xdr:colOff>190500</xdr:colOff>
          <xdr:row>6</xdr:row>
          <xdr:rowOff>200025</xdr:rowOff>
        </xdr:to>
        <xdr:sp macro="" textlink="">
          <xdr:nvSpPr>
            <xdr:cNvPr id="18433" name="CheckBox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28575</xdr:rowOff>
        </xdr:from>
        <xdr:to>
          <xdr:col>3</xdr:col>
          <xdr:colOff>190500</xdr:colOff>
          <xdr:row>11</xdr:row>
          <xdr:rowOff>200025</xdr:rowOff>
        </xdr:to>
        <xdr:sp macro="" textlink="">
          <xdr:nvSpPr>
            <xdr:cNvPr id="18437" name="CheckBox2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14</xdr:row>
          <xdr:rowOff>47625</xdr:rowOff>
        </xdr:from>
        <xdr:to>
          <xdr:col>3</xdr:col>
          <xdr:colOff>190500</xdr:colOff>
          <xdr:row>14</xdr:row>
          <xdr:rowOff>219075</xdr:rowOff>
        </xdr:to>
        <xdr:sp macro="" textlink="">
          <xdr:nvSpPr>
            <xdr:cNvPr id="18438" name="CheckBox3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16</xdr:row>
          <xdr:rowOff>38100</xdr:rowOff>
        </xdr:from>
        <xdr:to>
          <xdr:col>3</xdr:col>
          <xdr:colOff>190500</xdr:colOff>
          <xdr:row>16</xdr:row>
          <xdr:rowOff>209550</xdr:rowOff>
        </xdr:to>
        <xdr:sp macro="" textlink="">
          <xdr:nvSpPr>
            <xdr:cNvPr id="18439" name="CheckBox4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16</xdr:row>
          <xdr:rowOff>38100</xdr:rowOff>
        </xdr:from>
        <xdr:to>
          <xdr:col>8</xdr:col>
          <xdr:colOff>390525</xdr:colOff>
          <xdr:row>16</xdr:row>
          <xdr:rowOff>209550</xdr:rowOff>
        </xdr:to>
        <xdr:sp macro="" textlink="">
          <xdr:nvSpPr>
            <xdr:cNvPr id="18440" name="CheckBox5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28575</xdr:rowOff>
        </xdr:from>
        <xdr:to>
          <xdr:col>3</xdr:col>
          <xdr:colOff>190500</xdr:colOff>
          <xdr:row>25</xdr:row>
          <xdr:rowOff>200025</xdr:rowOff>
        </xdr:to>
        <xdr:sp macro="" textlink="">
          <xdr:nvSpPr>
            <xdr:cNvPr id="18441" name="CheckBox6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30</xdr:row>
          <xdr:rowOff>28575</xdr:rowOff>
        </xdr:from>
        <xdr:to>
          <xdr:col>3</xdr:col>
          <xdr:colOff>200025</xdr:colOff>
          <xdr:row>30</xdr:row>
          <xdr:rowOff>200025</xdr:rowOff>
        </xdr:to>
        <xdr:sp macro="" textlink="">
          <xdr:nvSpPr>
            <xdr:cNvPr id="18442" name="CheckBox7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6</xdr:row>
          <xdr:rowOff>9525</xdr:rowOff>
        </xdr:from>
        <xdr:to>
          <xdr:col>9</xdr:col>
          <xdr:colOff>28575</xdr:colOff>
          <xdr:row>9</xdr:row>
          <xdr:rowOff>0</xdr:rowOff>
        </xdr:to>
        <xdr:sp macro="" textlink="">
          <xdr:nvSpPr>
            <xdr:cNvPr id="18443" name="CommandButton1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9</xdr:row>
          <xdr:rowOff>38100</xdr:rowOff>
        </xdr:from>
        <xdr:to>
          <xdr:col>9</xdr:col>
          <xdr:colOff>28575</xdr:colOff>
          <xdr:row>12</xdr:row>
          <xdr:rowOff>0</xdr:rowOff>
        </xdr:to>
        <xdr:sp macro="" textlink="">
          <xdr:nvSpPr>
            <xdr:cNvPr id="18444" name="CommandButton2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12</xdr:row>
          <xdr:rowOff>142875</xdr:rowOff>
        </xdr:from>
        <xdr:to>
          <xdr:col>8</xdr:col>
          <xdr:colOff>590550</xdr:colOff>
          <xdr:row>15</xdr:row>
          <xdr:rowOff>76200</xdr:rowOff>
        </xdr:to>
        <xdr:sp macro="" textlink="">
          <xdr:nvSpPr>
            <xdr:cNvPr id="18446" name="CommandButton3" hidden="1">
              <a:extLst>
                <a:ext uri="{63B3BB69-23CF-44E3-9099-C40C66FF867C}">
                  <a14:compatExt spid="_x0000_s18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6</xdr:col>
      <xdr:colOff>152399</xdr:colOff>
      <xdr:row>24</xdr:row>
      <xdr:rowOff>142087</xdr:rowOff>
    </xdr:from>
    <xdr:to>
      <xdr:col>10</xdr:col>
      <xdr:colOff>608443</xdr:colOff>
      <xdr:row>38</xdr:row>
      <xdr:rowOff>133349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48124" y="4685512"/>
          <a:ext cx="2846819" cy="2591587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352424</xdr:colOff>
      <xdr:row>13</xdr:row>
      <xdr:rowOff>19050</xdr:rowOff>
    </xdr:from>
    <xdr:to>
      <xdr:col>5</xdr:col>
      <xdr:colOff>295275</xdr:colOff>
      <xdr:row>17</xdr:row>
      <xdr:rowOff>171450</xdr:rowOff>
    </xdr:to>
    <xdr:sp macro="" textlink="">
      <xdr:nvSpPr>
        <xdr:cNvPr id="2" name="Oval 1"/>
        <xdr:cNvSpPr/>
      </xdr:nvSpPr>
      <xdr:spPr>
        <a:xfrm>
          <a:off x="3152774" y="2667000"/>
          <a:ext cx="552451" cy="9334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5</xdr:col>
      <xdr:colOff>400050</xdr:colOff>
      <xdr:row>13</xdr:row>
      <xdr:rowOff>0</xdr:rowOff>
    </xdr:from>
    <xdr:to>
      <xdr:col>5</xdr:col>
      <xdr:colOff>400050</xdr:colOff>
      <xdr:row>17</xdr:row>
      <xdr:rowOff>142875</xdr:rowOff>
    </xdr:to>
    <xdr:cxnSp macro="">
      <xdr:nvCxnSpPr>
        <xdr:cNvPr id="5" name="Straight Arrow Connector 4"/>
        <xdr:cNvCxnSpPr/>
      </xdr:nvCxnSpPr>
      <xdr:spPr>
        <a:xfrm>
          <a:off x="3810000" y="2647950"/>
          <a:ext cx="0" cy="923925"/>
        </a:xfrm>
        <a:prstGeom prst="straightConnector1">
          <a:avLst/>
        </a:prstGeom>
        <a:ln w="25400"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333375</xdr:colOff>
      <xdr:row>18</xdr:row>
      <xdr:rowOff>57150</xdr:rowOff>
    </xdr:from>
    <xdr:to>
      <xdr:col>5</xdr:col>
      <xdr:colOff>285750</xdr:colOff>
      <xdr:row>18</xdr:row>
      <xdr:rowOff>66675</xdr:rowOff>
    </xdr:to>
    <xdr:cxnSp macro="">
      <xdr:nvCxnSpPr>
        <xdr:cNvPr id="8" name="Straight Arrow Connector 7"/>
        <xdr:cNvCxnSpPr/>
      </xdr:nvCxnSpPr>
      <xdr:spPr>
        <a:xfrm>
          <a:off x="3133725" y="3686175"/>
          <a:ext cx="561975" cy="9525"/>
        </a:xfrm>
        <a:prstGeom prst="straightConnector1">
          <a:avLst/>
        </a:prstGeom>
        <a:ln w="25400">
          <a:solidFill>
            <a:srgbClr val="00B05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24</xdr:row>
          <xdr:rowOff>47625</xdr:rowOff>
        </xdr:from>
        <xdr:to>
          <xdr:col>1</xdr:col>
          <xdr:colOff>161925</xdr:colOff>
          <xdr:row>26</xdr:row>
          <xdr:rowOff>133350</xdr:rowOff>
        </xdr:to>
        <xdr:sp macro="" textlink="">
          <xdr:nvSpPr>
            <xdr:cNvPr id="10241" name="Return_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352425</xdr:colOff>
      <xdr:row>3</xdr:row>
      <xdr:rowOff>9525</xdr:rowOff>
    </xdr:from>
    <xdr:to>
      <xdr:col>6</xdr:col>
      <xdr:colOff>76200</xdr:colOff>
      <xdr:row>4</xdr:row>
      <xdr:rowOff>190500</xdr:rowOff>
    </xdr:to>
    <xdr:sp macro="" textlink="">
      <xdr:nvSpPr>
        <xdr:cNvPr id="4" name="Rectangle 3"/>
        <xdr:cNvSpPr/>
      </xdr:nvSpPr>
      <xdr:spPr>
        <a:xfrm>
          <a:off x="3152775" y="666750"/>
          <a:ext cx="9429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6</xdr:col>
      <xdr:colOff>190500</xdr:colOff>
      <xdr:row>3</xdr:row>
      <xdr:rowOff>0</xdr:rowOff>
    </xdr:from>
    <xdr:to>
      <xdr:col>6</xdr:col>
      <xdr:colOff>190500</xdr:colOff>
      <xdr:row>5</xdr:row>
      <xdr:rowOff>9525</xdr:rowOff>
    </xdr:to>
    <xdr:cxnSp macro="">
      <xdr:nvCxnSpPr>
        <xdr:cNvPr id="13" name="Straight Arrow Connector 12"/>
        <xdr:cNvCxnSpPr/>
      </xdr:nvCxnSpPr>
      <xdr:spPr>
        <a:xfrm>
          <a:off x="4210050" y="657225"/>
          <a:ext cx="0" cy="400050"/>
        </a:xfrm>
        <a:prstGeom prst="straightConnector1">
          <a:avLst/>
        </a:prstGeom>
        <a:ln w="25400">
          <a:solidFill>
            <a:srgbClr val="00B05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361950</xdr:colOff>
      <xdr:row>5</xdr:row>
      <xdr:rowOff>95250</xdr:rowOff>
    </xdr:from>
    <xdr:to>
      <xdr:col>6</xdr:col>
      <xdr:colOff>76200</xdr:colOff>
      <xdr:row>5</xdr:row>
      <xdr:rowOff>95250</xdr:rowOff>
    </xdr:to>
    <xdr:cxnSp macro="">
      <xdr:nvCxnSpPr>
        <xdr:cNvPr id="23" name="Straight Arrow Connector 22"/>
        <xdr:cNvCxnSpPr/>
      </xdr:nvCxnSpPr>
      <xdr:spPr>
        <a:xfrm>
          <a:off x="3162300" y="1143000"/>
          <a:ext cx="933450" cy="0"/>
        </a:xfrm>
        <a:prstGeom prst="straightConnector1">
          <a:avLst/>
        </a:prstGeom>
        <a:ln w="25400"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76200</xdr:colOff>
      <xdr:row>5</xdr:row>
      <xdr:rowOff>57150</xdr:rowOff>
    </xdr:from>
    <xdr:to>
      <xdr:col>5</xdr:col>
      <xdr:colOff>360701</xdr:colOff>
      <xdr:row>6</xdr:row>
      <xdr:rowOff>155925</xdr:rowOff>
    </xdr:to>
    <xdr:sp macro="" textlink="">
      <xdr:nvSpPr>
        <xdr:cNvPr id="26" name="TextBox 25"/>
        <xdr:cNvSpPr txBox="1"/>
      </xdr:nvSpPr>
      <xdr:spPr>
        <a:xfrm>
          <a:off x="3486150" y="1104900"/>
          <a:ext cx="284501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400" b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a</a:t>
          </a:r>
        </a:p>
      </xdr:txBody>
    </xdr:sp>
    <xdr:clientData/>
  </xdr:twoCellAnchor>
  <xdr:twoCellAnchor>
    <xdr:from>
      <xdr:col>5</xdr:col>
      <xdr:colOff>409575</xdr:colOff>
      <xdr:row>16</xdr:row>
      <xdr:rowOff>19050</xdr:rowOff>
    </xdr:from>
    <xdr:to>
      <xdr:col>6</xdr:col>
      <xdr:colOff>84476</xdr:colOff>
      <xdr:row>17</xdr:row>
      <xdr:rowOff>127350</xdr:rowOff>
    </xdr:to>
    <xdr:sp macro="" textlink="">
      <xdr:nvSpPr>
        <xdr:cNvPr id="28" name="TextBox 27"/>
        <xdr:cNvSpPr txBox="1"/>
      </xdr:nvSpPr>
      <xdr:spPr>
        <a:xfrm>
          <a:off x="3819525" y="2667000"/>
          <a:ext cx="284501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400" b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a</a:t>
          </a:r>
        </a:p>
      </xdr:txBody>
    </xdr:sp>
    <xdr:clientData/>
  </xdr:twoCellAnchor>
  <xdr:twoCellAnchor>
    <xdr:from>
      <xdr:col>4</xdr:col>
      <xdr:colOff>476250</xdr:colOff>
      <xdr:row>18</xdr:row>
      <xdr:rowOff>95250</xdr:rowOff>
    </xdr:from>
    <xdr:to>
      <xdr:col>5</xdr:col>
      <xdr:colOff>160961</xdr:colOff>
      <xdr:row>20</xdr:row>
      <xdr:rowOff>13050</xdr:rowOff>
    </xdr:to>
    <xdr:sp macro="" textlink="">
      <xdr:nvSpPr>
        <xdr:cNvPr id="29" name="TextBox 28"/>
        <xdr:cNvSpPr txBox="1"/>
      </xdr:nvSpPr>
      <xdr:spPr>
        <a:xfrm>
          <a:off x="3276600" y="3724275"/>
          <a:ext cx="294311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400" b="1">
              <a:solidFill>
                <a:srgbClr val="00B050"/>
              </a:solidFill>
              <a:latin typeface="Arial" panose="020B0604020202020204" pitchFamily="34" charset="0"/>
              <a:cs typeface="Arial" panose="020B0604020202020204" pitchFamily="34" charset="0"/>
            </a:rPr>
            <a:t>b</a:t>
          </a:r>
        </a:p>
      </xdr:txBody>
    </xdr:sp>
    <xdr:clientData/>
  </xdr:twoCellAnchor>
  <xdr:twoCellAnchor>
    <xdr:from>
      <xdr:col>6</xdr:col>
      <xdr:colOff>219075</xdr:colOff>
      <xdr:row>3</xdr:row>
      <xdr:rowOff>57150</xdr:rowOff>
    </xdr:from>
    <xdr:to>
      <xdr:col>6</xdr:col>
      <xdr:colOff>513386</xdr:colOff>
      <xdr:row>4</xdr:row>
      <xdr:rowOff>165450</xdr:rowOff>
    </xdr:to>
    <xdr:sp macro="" textlink="">
      <xdr:nvSpPr>
        <xdr:cNvPr id="30" name="TextBox 29"/>
        <xdr:cNvSpPr txBox="1"/>
      </xdr:nvSpPr>
      <xdr:spPr>
        <a:xfrm>
          <a:off x="4238625" y="714375"/>
          <a:ext cx="294311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400" b="1">
              <a:solidFill>
                <a:srgbClr val="00B050"/>
              </a:solidFill>
              <a:latin typeface="Arial" panose="020B0604020202020204" pitchFamily="34" charset="0"/>
              <a:cs typeface="Arial" panose="020B0604020202020204" pitchFamily="34" charset="0"/>
            </a:rPr>
            <a:t>b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428625</xdr:colOff>
      <xdr:row>7</xdr:row>
      <xdr:rowOff>114300</xdr:rowOff>
    </xdr:from>
    <xdr:to>
      <xdr:col>3</xdr:col>
      <xdr:colOff>247650</xdr:colOff>
      <xdr:row>12</xdr:row>
      <xdr:rowOff>85725</xdr:rowOff>
    </xdr:to>
    <xdr:cxnSp macro="">
      <xdr:nvCxnSpPr>
        <xdr:cNvPr id="9" name="Elbow Connector 8"/>
        <xdr:cNvCxnSpPr/>
      </xdr:nvCxnSpPr>
      <xdr:spPr>
        <a:xfrm>
          <a:off x="1038225" y="1066800"/>
          <a:ext cx="1038225" cy="923925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104775</xdr:colOff>
      <xdr:row>5</xdr:row>
      <xdr:rowOff>171450</xdr:rowOff>
    </xdr:from>
    <xdr:to>
      <xdr:col>1</xdr:col>
      <xdr:colOff>104775</xdr:colOff>
      <xdr:row>7</xdr:row>
      <xdr:rowOff>142875</xdr:rowOff>
    </xdr:to>
    <xdr:cxnSp macro="">
      <xdr:nvCxnSpPr>
        <xdr:cNvPr id="13" name="Straight Arrow Connector 12"/>
        <xdr:cNvCxnSpPr/>
      </xdr:nvCxnSpPr>
      <xdr:spPr>
        <a:xfrm>
          <a:off x="714375" y="742950"/>
          <a:ext cx="0" cy="35242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457200</xdr:colOff>
      <xdr:row>7</xdr:row>
      <xdr:rowOff>123825</xdr:rowOff>
    </xdr:from>
    <xdr:to>
      <xdr:col>2</xdr:col>
      <xdr:colOff>342900</xdr:colOff>
      <xdr:row>7</xdr:row>
      <xdr:rowOff>123825</xdr:rowOff>
    </xdr:to>
    <xdr:cxnSp macro="">
      <xdr:nvCxnSpPr>
        <xdr:cNvPr id="16" name="Straight Connector 15"/>
        <xdr:cNvCxnSpPr/>
      </xdr:nvCxnSpPr>
      <xdr:spPr>
        <a:xfrm>
          <a:off x="1066800" y="1076325"/>
          <a:ext cx="495300" cy="0"/>
        </a:xfrm>
        <a:prstGeom prst="line">
          <a:avLst/>
        </a:prstGeom>
        <a:ln w="2222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333375</xdr:colOff>
      <xdr:row>12</xdr:row>
      <xdr:rowOff>85725</xdr:rowOff>
    </xdr:from>
    <xdr:to>
      <xdr:col>3</xdr:col>
      <xdr:colOff>228600</xdr:colOff>
      <xdr:row>12</xdr:row>
      <xdr:rowOff>85725</xdr:rowOff>
    </xdr:to>
    <xdr:cxnSp macro="">
      <xdr:nvCxnSpPr>
        <xdr:cNvPr id="18" name="Straight Connector 17"/>
        <xdr:cNvCxnSpPr/>
      </xdr:nvCxnSpPr>
      <xdr:spPr>
        <a:xfrm>
          <a:off x="1552575" y="1990725"/>
          <a:ext cx="504825" cy="0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5</xdr:row>
      <xdr:rowOff>38101</xdr:rowOff>
    </xdr:from>
    <xdr:to>
      <xdr:col>6</xdr:col>
      <xdr:colOff>428625</xdr:colOff>
      <xdr:row>11</xdr:row>
      <xdr:rowOff>104776</xdr:rowOff>
    </xdr:to>
    <xdr:grpSp>
      <xdr:nvGrpSpPr>
        <xdr:cNvPr id="26" name="Group 25"/>
        <xdr:cNvGrpSpPr/>
      </xdr:nvGrpSpPr>
      <xdr:grpSpPr>
        <a:xfrm>
          <a:off x="3067050" y="1000126"/>
          <a:ext cx="1019175" cy="1162050"/>
          <a:chOff x="3200400" y="923925"/>
          <a:chExt cx="1762125" cy="2028825"/>
        </a:xfrm>
      </xdr:grpSpPr>
      <xdr:sp macro="" textlink="">
        <xdr:nvSpPr>
          <xdr:cNvPr id="19" name="Freeform 18"/>
          <xdr:cNvSpPr/>
        </xdr:nvSpPr>
        <xdr:spPr>
          <a:xfrm>
            <a:off x="3200400" y="923925"/>
            <a:ext cx="1762125" cy="2028825"/>
          </a:xfrm>
          <a:custGeom>
            <a:avLst/>
            <a:gdLst>
              <a:gd name="connsiteX0" fmla="*/ 76200 w 1762125"/>
              <a:gd name="connsiteY0" fmla="*/ 247650 h 2124075"/>
              <a:gd name="connsiteX1" fmla="*/ 0 w 1762125"/>
              <a:gd name="connsiteY1" fmla="*/ 666750 h 2124075"/>
              <a:gd name="connsiteX2" fmla="*/ 390525 w 1762125"/>
              <a:gd name="connsiteY2" fmla="*/ 1057275 h 2124075"/>
              <a:gd name="connsiteX3" fmla="*/ 361950 w 1762125"/>
              <a:gd name="connsiteY3" fmla="*/ 1381125 h 2124075"/>
              <a:gd name="connsiteX4" fmla="*/ 219075 w 1762125"/>
              <a:gd name="connsiteY4" fmla="*/ 1847850 h 2124075"/>
              <a:gd name="connsiteX5" fmla="*/ 485775 w 1762125"/>
              <a:gd name="connsiteY5" fmla="*/ 2124075 h 2124075"/>
              <a:gd name="connsiteX6" fmla="*/ 1352550 w 1762125"/>
              <a:gd name="connsiteY6" fmla="*/ 2085975 h 2124075"/>
              <a:gd name="connsiteX7" fmla="*/ 1628775 w 1762125"/>
              <a:gd name="connsiteY7" fmla="*/ 1590675 h 2124075"/>
              <a:gd name="connsiteX8" fmla="*/ 1762125 w 1762125"/>
              <a:gd name="connsiteY8" fmla="*/ 876300 h 2124075"/>
              <a:gd name="connsiteX9" fmla="*/ 1543050 w 1762125"/>
              <a:gd name="connsiteY9" fmla="*/ 466725 h 2124075"/>
              <a:gd name="connsiteX10" fmla="*/ 990600 w 1762125"/>
              <a:gd name="connsiteY10" fmla="*/ 123825 h 2124075"/>
              <a:gd name="connsiteX11" fmla="*/ 495300 w 1762125"/>
              <a:gd name="connsiteY11" fmla="*/ 0 h 2124075"/>
              <a:gd name="connsiteX12" fmla="*/ 123825 w 1762125"/>
              <a:gd name="connsiteY12" fmla="*/ 190500 h 2124075"/>
              <a:gd name="connsiteX13" fmla="*/ 76200 w 1762125"/>
              <a:gd name="connsiteY13" fmla="*/ 247650 h 2124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1762125" h="2124075">
                <a:moveTo>
                  <a:pt x="76200" y="247650"/>
                </a:moveTo>
                <a:lnTo>
                  <a:pt x="0" y="666750"/>
                </a:lnTo>
                <a:lnTo>
                  <a:pt x="390525" y="1057275"/>
                </a:lnTo>
                <a:lnTo>
                  <a:pt x="361950" y="1381125"/>
                </a:lnTo>
                <a:lnTo>
                  <a:pt x="219075" y="1847850"/>
                </a:lnTo>
                <a:lnTo>
                  <a:pt x="485775" y="2124075"/>
                </a:lnTo>
                <a:lnTo>
                  <a:pt x="1352550" y="2085975"/>
                </a:lnTo>
                <a:lnTo>
                  <a:pt x="1628775" y="1590675"/>
                </a:lnTo>
                <a:lnTo>
                  <a:pt x="1762125" y="876300"/>
                </a:lnTo>
                <a:lnTo>
                  <a:pt x="1543050" y="466725"/>
                </a:lnTo>
                <a:lnTo>
                  <a:pt x="990600" y="123825"/>
                </a:lnTo>
                <a:lnTo>
                  <a:pt x="495300" y="0"/>
                </a:lnTo>
                <a:lnTo>
                  <a:pt x="123825" y="190500"/>
                </a:lnTo>
                <a:lnTo>
                  <a:pt x="76200" y="247650"/>
                </a:lnTo>
                <a:close/>
              </a:path>
            </a:pathLst>
          </a:cu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/>
          </a:p>
        </xdr:txBody>
      </xdr:sp>
      <xdr:sp macro="" textlink="">
        <xdr:nvSpPr>
          <xdr:cNvPr id="21" name="Freeform 20"/>
          <xdr:cNvSpPr/>
        </xdr:nvSpPr>
        <xdr:spPr>
          <a:xfrm>
            <a:off x="3200400" y="923925"/>
            <a:ext cx="1524000" cy="838200"/>
          </a:xfrm>
          <a:custGeom>
            <a:avLst/>
            <a:gdLst>
              <a:gd name="connsiteX0" fmla="*/ 466725 w 1524000"/>
              <a:gd name="connsiteY0" fmla="*/ 0 h 876300"/>
              <a:gd name="connsiteX1" fmla="*/ 990600 w 1524000"/>
              <a:gd name="connsiteY1" fmla="*/ 133350 h 876300"/>
              <a:gd name="connsiteX2" fmla="*/ 1524000 w 1524000"/>
              <a:gd name="connsiteY2" fmla="*/ 447675 h 876300"/>
              <a:gd name="connsiteX3" fmla="*/ 1076325 w 1524000"/>
              <a:gd name="connsiteY3" fmla="*/ 619125 h 876300"/>
              <a:gd name="connsiteX4" fmla="*/ 342900 w 1524000"/>
              <a:gd name="connsiteY4" fmla="*/ 866775 h 876300"/>
              <a:gd name="connsiteX5" fmla="*/ 209550 w 1524000"/>
              <a:gd name="connsiteY5" fmla="*/ 876300 h 876300"/>
              <a:gd name="connsiteX6" fmla="*/ 0 w 1524000"/>
              <a:gd name="connsiteY6" fmla="*/ 676275 h 876300"/>
              <a:gd name="connsiteX7" fmla="*/ 76200 w 1524000"/>
              <a:gd name="connsiteY7" fmla="*/ 247650 h 876300"/>
              <a:gd name="connsiteX8" fmla="*/ 466725 w 1524000"/>
              <a:gd name="connsiteY8" fmla="*/ 0 h 8763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524000" h="876300">
                <a:moveTo>
                  <a:pt x="466725" y="0"/>
                </a:moveTo>
                <a:lnTo>
                  <a:pt x="990600" y="133350"/>
                </a:lnTo>
                <a:lnTo>
                  <a:pt x="1524000" y="447675"/>
                </a:lnTo>
                <a:lnTo>
                  <a:pt x="1076325" y="619125"/>
                </a:lnTo>
                <a:lnTo>
                  <a:pt x="342900" y="866775"/>
                </a:lnTo>
                <a:lnTo>
                  <a:pt x="209550" y="876300"/>
                </a:lnTo>
                <a:lnTo>
                  <a:pt x="0" y="676275"/>
                </a:lnTo>
                <a:lnTo>
                  <a:pt x="76200" y="247650"/>
                </a:lnTo>
                <a:lnTo>
                  <a:pt x="466725" y="0"/>
                </a:lnTo>
                <a:close/>
              </a:path>
            </a:pathLst>
          </a:cu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/>
          </a:p>
        </xdr:txBody>
      </xdr:sp>
      <xdr:sp macro="" textlink="">
        <xdr:nvSpPr>
          <xdr:cNvPr id="22" name="TextBox 21"/>
          <xdr:cNvSpPr txBox="1"/>
        </xdr:nvSpPr>
        <xdr:spPr>
          <a:xfrm>
            <a:off x="3266274" y="973812"/>
            <a:ext cx="1399819" cy="5793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800" b="1"/>
              <a:t>~33%</a:t>
            </a:r>
          </a:p>
        </xdr:txBody>
      </xdr:sp>
    </xdr:grpSp>
    <xdr:clientData/>
  </xdr:twoCellAnchor>
  <xdr:twoCellAnchor>
    <xdr:from>
      <xdr:col>1</xdr:col>
      <xdr:colOff>295275</xdr:colOff>
      <xdr:row>5</xdr:row>
      <xdr:rowOff>142875</xdr:rowOff>
    </xdr:from>
    <xdr:to>
      <xdr:col>3</xdr:col>
      <xdr:colOff>381000</xdr:colOff>
      <xdr:row>12</xdr:row>
      <xdr:rowOff>104775</xdr:rowOff>
    </xdr:to>
    <xdr:sp macro="" textlink="">
      <xdr:nvSpPr>
        <xdr:cNvPr id="23" name="Freeform 22"/>
        <xdr:cNvSpPr/>
      </xdr:nvSpPr>
      <xdr:spPr>
        <a:xfrm>
          <a:off x="904875" y="714375"/>
          <a:ext cx="1304925" cy="1295400"/>
        </a:xfrm>
        <a:custGeom>
          <a:avLst/>
          <a:gdLst>
            <a:gd name="connsiteX0" fmla="*/ 1304925 w 1304925"/>
            <a:gd name="connsiteY0" fmla="*/ 1276350 h 1295400"/>
            <a:gd name="connsiteX1" fmla="*/ 1276350 w 1304925"/>
            <a:gd name="connsiteY1" fmla="*/ 19050 h 1295400"/>
            <a:gd name="connsiteX2" fmla="*/ 914400 w 1304925"/>
            <a:gd name="connsiteY2" fmla="*/ 0 h 1295400"/>
            <a:gd name="connsiteX3" fmla="*/ 457200 w 1304925"/>
            <a:gd name="connsiteY3" fmla="*/ 19050 h 1295400"/>
            <a:gd name="connsiteX4" fmla="*/ 0 w 1304925"/>
            <a:gd name="connsiteY4" fmla="*/ 19050 h 1295400"/>
            <a:gd name="connsiteX5" fmla="*/ 0 w 1304925"/>
            <a:gd name="connsiteY5" fmla="*/ 361950 h 1295400"/>
            <a:gd name="connsiteX6" fmla="*/ 438150 w 1304925"/>
            <a:gd name="connsiteY6" fmla="*/ 361950 h 1295400"/>
            <a:gd name="connsiteX7" fmla="*/ 657225 w 1304925"/>
            <a:gd name="connsiteY7" fmla="*/ 381000 h 1295400"/>
            <a:gd name="connsiteX8" fmla="*/ 657225 w 1304925"/>
            <a:gd name="connsiteY8" fmla="*/ 942975 h 1295400"/>
            <a:gd name="connsiteX9" fmla="*/ 676275 w 1304925"/>
            <a:gd name="connsiteY9" fmla="*/ 1276350 h 1295400"/>
            <a:gd name="connsiteX10" fmla="*/ 1104900 w 1304925"/>
            <a:gd name="connsiteY10" fmla="*/ 1295400 h 1295400"/>
            <a:gd name="connsiteX11" fmla="*/ 1304925 w 1304925"/>
            <a:gd name="connsiteY11" fmla="*/ 1276350 h 1295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1304925" h="1295400">
              <a:moveTo>
                <a:pt x="1304925" y="1276350"/>
              </a:moveTo>
              <a:lnTo>
                <a:pt x="1276350" y="19050"/>
              </a:lnTo>
              <a:lnTo>
                <a:pt x="914400" y="0"/>
              </a:lnTo>
              <a:lnTo>
                <a:pt x="457200" y="19050"/>
              </a:lnTo>
              <a:lnTo>
                <a:pt x="0" y="19050"/>
              </a:lnTo>
              <a:lnTo>
                <a:pt x="0" y="361950"/>
              </a:lnTo>
              <a:lnTo>
                <a:pt x="438150" y="361950"/>
              </a:lnTo>
              <a:lnTo>
                <a:pt x="657225" y="381000"/>
              </a:lnTo>
              <a:lnTo>
                <a:pt x="657225" y="942975"/>
              </a:lnTo>
              <a:lnTo>
                <a:pt x="676275" y="1276350"/>
              </a:lnTo>
              <a:lnTo>
                <a:pt x="1104900" y="1295400"/>
              </a:lnTo>
              <a:lnTo>
                <a:pt x="1304925" y="1276350"/>
              </a:lnTo>
              <a:close/>
            </a:path>
          </a:pathLst>
        </a:cu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285750</xdr:colOff>
      <xdr:row>5</xdr:row>
      <xdr:rowOff>171450</xdr:rowOff>
    </xdr:from>
    <xdr:to>
      <xdr:col>2</xdr:col>
      <xdr:colOff>352425</xdr:colOff>
      <xdr:row>7</xdr:row>
      <xdr:rowOff>133350</xdr:rowOff>
    </xdr:to>
    <xdr:sp macro="" textlink="">
      <xdr:nvSpPr>
        <xdr:cNvPr id="24" name="Freeform 23"/>
        <xdr:cNvSpPr/>
      </xdr:nvSpPr>
      <xdr:spPr>
        <a:xfrm>
          <a:off x="895350" y="742950"/>
          <a:ext cx="676275" cy="342900"/>
        </a:xfrm>
        <a:custGeom>
          <a:avLst/>
          <a:gdLst>
            <a:gd name="connsiteX0" fmla="*/ 0 w 676275"/>
            <a:gd name="connsiteY0" fmla="*/ 0 h 342900"/>
            <a:gd name="connsiteX1" fmla="*/ 361950 w 676275"/>
            <a:gd name="connsiteY1" fmla="*/ 9525 h 342900"/>
            <a:gd name="connsiteX2" fmla="*/ 676275 w 676275"/>
            <a:gd name="connsiteY2" fmla="*/ 0 h 342900"/>
            <a:gd name="connsiteX3" fmla="*/ 657225 w 676275"/>
            <a:gd name="connsiteY3" fmla="*/ 342900 h 342900"/>
            <a:gd name="connsiteX4" fmla="*/ 409575 w 676275"/>
            <a:gd name="connsiteY4" fmla="*/ 323850 h 342900"/>
            <a:gd name="connsiteX5" fmla="*/ 114300 w 676275"/>
            <a:gd name="connsiteY5" fmla="*/ 323850 h 342900"/>
            <a:gd name="connsiteX6" fmla="*/ 9525 w 676275"/>
            <a:gd name="connsiteY6" fmla="*/ 323850 h 342900"/>
            <a:gd name="connsiteX7" fmla="*/ 0 w 676275"/>
            <a:gd name="connsiteY7" fmla="*/ 0 h 3429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676275" h="342900">
              <a:moveTo>
                <a:pt x="0" y="0"/>
              </a:moveTo>
              <a:lnTo>
                <a:pt x="361950" y="9525"/>
              </a:lnTo>
              <a:lnTo>
                <a:pt x="676275" y="0"/>
              </a:lnTo>
              <a:lnTo>
                <a:pt x="657225" y="342900"/>
              </a:lnTo>
              <a:lnTo>
                <a:pt x="409575" y="323850"/>
              </a:lnTo>
              <a:lnTo>
                <a:pt x="114300" y="323850"/>
              </a:lnTo>
              <a:lnTo>
                <a:pt x="9525" y="323850"/>
              </a:lnTo>
              <a:lnTo>
                <a:pt x="0" y="0"/>
              </a:lnTo>
              <a:close/>
            </a:path>
          </a:pathLst>
        </a:cu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266700</xdr:colOff>
      <xdr:row>3</xdr:row>
      <xdr:rowOff>66675</xdr:rowOff>
    </xdr:from>
    <xdr:to>
      <xdr:col>1</xdr:col>
      <xdr:colOff>561975</xdr:colOff>
      <xdr:row>13</xdr:row>
      <xdr:rowOff>66675</xdr:rowOff>
    </xdr:to>
    <xdr:cxnSp macro="">
      <xdr:nvCxnSpPr>
        <xdr:cNvPr id="3" name="Straight Connector 2"/>
        <xdr:cNvCxnSpPr/>
      </xdr:nvCxnSpPr>
      <xdr:spPr>
        <a:xfrm flipH="1">
          <a:off x="876300" y="257175"/>
          <a:ext cx="295275" cy="1905000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</xdr:colOff>
      <xdr:row>3</xdr:row>
      <xdr:rowOff>66675</xdr:rowOff>
    </xdr:from>
    <xdr:to>
      <xdr:col>3</xdr:col>
      <xdr:colOff>266700</xdr:colOff>
      <xdr:row>13</xdr:row>
      <xdr:rowOff>47625</xdr:rowOff>
    </xdr:to>
    <xdr:cxnSp macro="">
      <xdr:nvCxnSpPr>
        <xdr:cNvPr id="5" name="Straight Connector 4"/>
        <xdr:cNvCxnSpPr/>
      </xdr:nvCxnSpPr>
      <xdr:spPr>
        <a:xfrm>
          <a:off x="1885950" y="666750"/>
          <a:ext cx="209550" cy="180022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409575</xdr:colOff>
      <xdr:row>7</xdr:row>
      <xdr:rowOff>152400</xdr:rowOff>
    </xdr:from>
    <xdr:to>
      <xdr:col>2</xdr:col>
      <xdr:colOff>333375</xdr:colOff>
      <xdr:row>9</xdr:row>
      <xdr:rowOff>0</xdr:rowOff>
    </xdr:to>
    <xdr:sp macro="" textlink="">
      <xdr:nvSpPr>
        <xdr:cNvPr id="25" name="Rectangle 24"/>
        <xdr:cNvSpPr/>
      </xdr:nvSpPr>
      <xdr:spPr>
        <a:xfrm>
          <a:off x="409575" y="1104900"/>
          <a:ext cx="1143000" cy="228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Lead Shielding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15</xdr:row>
          <xdr:rowOff>0</xdr:rowOff>
        </xdr:from>
        <xdr:to>
          <xdr:col>5</xdr:col>
          <xdr:colOff>342900</xdr:colOff>
          <xdr:row>17</xdr:row>
          <xdr:rowOff>0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15</xdr:row>
          <xdr:rowOff>0</xdr:rowOff>
        </xdr:from>
        <xdr:to>
          <xdr:col>7</xdr:col>
          <xdr:colOff>257175</xdr:colOff>
          <xdr:row>17</xdr:row>
          <xdr:rowOff>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mmissioning/SoftXray_chamb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ommissioning/HVL_determin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ommissioning/Bwdata_TG6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v-Markus"/>
      <sheetName val="SoftXrays"/>
      <sheetName val="FC65-G_Xrays"/>
      <sheetName val="Frmer-vs-Soft-meas"/>
      <sheetName val="Sheet1"/>
      <sheetName val="SoftXR-Stem effect"/>
      <sheetName val="Stem-Effect-FINAL"/>
      <sheetName val="Xstrahl_AbsDosim_FINAL"/>
      <sheetName val="Xstrahl-AbsDosim"/>
    </sheetNames>
    <sheetDataSet>
      <sheetData sheetId="0"/>
      <sheetData sheetId="1"/>
      <sheetData sheetId="2"/>
      <sheetData sheetId="3"/>
      <sheetData sheetId="4">
        <row r="4">
          <cell r="C4">
            <v>14</v>
          </cell>
          <cell r="D4">
            <v>14</v>
          </cell>
          <cell r="E4">
            <v>14</v>
          </cell>
          <cell r="F4">
            <v>14</v>
          </cell>
          <cell r="G4">
            <v>14</v>
          </cell>
        </row>
        <row r="5">
          <cell r="C5">
            <v>14.253587167264458</v>
          </cell>
          <cell r="D5">
            <v>14.309634446696885</v>
          </cell>
          <cell r="E5">
            <v>14.194462368503165</v>
          </cell>
          <cell r="F5">
            <v>14.159640080769908</v>
          </cell>
          <cell r="G5">
            <v>14.061106160666185</v>
          </cell>
        </row>
        <row r="6">
          <cell r="C6">
            <v>14.722499496788256</v>
          </cell>
          <cell r="D6">
            <v>14.722499496788256</v>
          </cell>
          <cell r="E6">
            <v>14.722499496788256</v>
          </cell>
          <cell r="F6">
            <v>14.62707870795985</v>
          </cell>
          <cell r="G6">
            <v>14.62707870795985</v>
          </cell>
        </row>
        <row r="7">
          <cell r="C7">
            <v>14.932052199081875</v>
          </cell>
          <cell r="D7">
            <v>14.943819651041721</v>
          </cell>
          <cell r="E7">
            <v>14.943819651041721</v>
          </cell>
          <cell r="F7">
            <v>14.463298881617698</v>
          </cell>
          <cell r="G7">
            <v>14.463298881617698</v>
          </cell>
        </row>
        <row r="8">
          <cell r="C8">
            <v>23.45926536638261</v>
          </cell>
          <cell r="D8">
            <v>23.45926536638261</v>
          </cell>
          <cell r="E8">
            <v>23.45926536638261</v>
          </cell>
          <cell r="F8">
            <v>23.829089878121238</v>
          </cell>
          <cell r="G8">
            <v>23.829089878121238</v>
          </cell>
        </row>
        <row r="9">
          <cell r="C9">
            <v>23.45926536638261</v>
          </cell>
          <cell r="D9">
            <v>23.45926536638261</v>
          </cell>
          <cell r="E9">
            <v>23.45926536638261</v>
          </cell>
          <cell r="F9">
            <v>23.829089878121238</v>
          </cell>
          <cell r="G9">
            <v>23.829089878121238</v>
          </cell>
        </row>
      </sheetData>
      <sheetData sheetId="5"/>
      <sheetData sheetId="6"/>
      <sheetData sheetId="7">
        <row r="14">
          <cell r="C14">
            <v>1.5112783163715874E-3</v>
          </cell>
          <cell r="D14">
            <v>4.4327580822263799E-4</v>
          </cell>
          <cell r="E14">
            <v>1.391633499397801E-4</v>
          </cell>
          <cell r="F14">
            <v>-4.6417452962293435E-4</v>
          </cell>
          <cell r="G14">
            <v>-5.1306074193043665E-4</v>
          </cell>
        </row>
        <row r="45">
          <cell r="C45">
            <v>6.5325785259885105</v>
          </cell>
          <cell r="D45">
            <v>3.3198543496062425</v>
          </cell>
          <cell r="E45">
            <v>3.5405765025635274</v>
          </cell>
          <cell r="F45">
            <v>4.069409230604494</v>
          </cell>
          <cell r="G45">
            <v>2.9266451840753058</v>
          </cell>
        </row>
        <row r="46">
          <cell r="C46">
            <v>6.5987234076830195</v>
          </cell>
          <cell r="D46">
            <v>3.4196826040366322</v>
          </cell>
          <cell r="E46">
            <v>3.6863169899006372</v>
          </cell>
          <cell r="F46">
            <v>4.2728416952585375</v>
          </cell>
          <cell r="G46">
            <v>3.076541869983378</v>
          </cell>
        </row>
        <row r="47">
          <cell r="C47">
            <v>6.6322247599874089</v>
          </cell>
          <cell r="D47">
            <v>3.4473137426469247</v>
          </cell>
          <cell r="E47">
            <v>3.719657625421632</v>
          </cell>
          <cell r="F47">
            <v>4.2818679773837491</v>
          </cell>
          <cell r="G47">
            <v>3.067961292076586</v>
          </cell>
        </row>
        <row r="48">
          <cell r="C48">
            <v>6.6277513089069933</v>
          </cell>
          <cell r="D48">
            <v>3.4552869519307556</v>
          </cell>
          <cell r="E48">
            <v>3.738813136940863</v>
          </cell>
          <cell r="F48">
            <v>4.2947515544941712</v>
          </cell>
          <cell r="G48">
            <v>3.080688388618833</v>
          </cell>
        </row>
        <row r="49">
          <cell r="C49">
            <v>2.2781901128754578</v>
          </cell>
          <cell r="D49">
            <v>1.2250515115118765</v>
          </cell>
          <cell r="E49">
            <v>1.3271251244713549</v>
          </cell>
          <cell r="F49">
            <v>1.5276633522364715</v>
          </cell>
          <cell r="G49">
            <v>1.0976334363649396</v>
          </cell>
        </row>
        <row r="50">
          <cell r="C50">
            <v>2.2819336672638628</v>
          </cell>
          <cell r="D50">
            <v>1.2304929907366615</v>
          </cell>
          <cell r="E50">
            <v>1.3265210897815913</v>
          </cell>
          <cell r="F50">
            <v>1.5216557579759284</v>
          </cell>
          <cell r="G50">
            <v>1.0931142493765187</v>
          </cell>
        </row>
      </sheetData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ering"/>
      <sheetName val="F1-B"/>
      <sheetName val="F2-B"/>
      <sheetName val="F3-B"/>
      <sheetName val="F4-B"/>
      <sheetName val="F5-B"/>
      <sheetName val="QA-HVL-Baseline"/>
      <sheetName val="HVL-final results"/>
      <sheetName val="HVL_determin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8">
          <cell r="B8">
            <v>0.19153463596821266</v>
          </cell>
          <cell r="C8">
            <v>0.81143768071028854</v>
          </cell>
          <cell r="D8">
            <v>2.0119459896403291</v>
          </cell>
          <cell r="E8">
            <v>2.6055254817837485</v>
          </cell>
          <cell r="F8">
            <v>4.0227103723161859</v>
          </cell>
        </row>
      </sheetData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w_Clin"/>
      <sheetName val="Dosim_Data_TG61"/>
      <sheetName val="muenro"/>
      <sheetName val="PDD-comp"/>
      <sheetName val="PDDs"/>
      <sheetName val="Clin-PDD"/>
    </sheetNames>
    <sheetDataSet>
      <sheetData sheetId="0">
        <row r="8">
          <cell r="B8">
            <v>1</v>
          </cell>
          <cell r="C8">
            <v>1.021322770877457</v>
          </cell>
          <cell r="D8">
            <v>1.0431715652106544</v>
          </cell>
          <cell r="E8">
            <v>1.0560657029430218</v>
          </cell>
          <cell r="F8">
            <v>1.0593303901498108</v>
          </cell>
          <cell r="G8">
            <v>1.0589659344415256</v>
          </cell>
        </row>
        <row r="9">
          <cell r="B9">
            <v>2</v>
          </cell>
          <cell r="C9">
            <v>1.0295688099565035</v>
          </cell>
          <cell r="D9">
            <v>1.0754575072284116</v>
          </cell>
          <cell r="E9">
            <v>1.106143351875684</v>
          </cell>
          <cell r="F9">
            <v>1.113266305781405</v>
          </cell>
          <cell r="G9">
            <v>1.1180000000000001</v>
          </cell>
        </row>
        <row r="10">
          <cell r="B10">
            <v>3</v>
          </cell>
          <cell r="C10">
            <v>1.0328148490355495</v>
          </cell>
          <cell r="D10">
            <v>1.0926862608426173</v>
          </cell>
          <cell r="E10">
            <v>1.1367628117720872</v>
          </cell>
          <cell r="F10">
            <v>1.1498215605992423</v>
          </cell>
          <cell r="G10">
            <v>1.1615340655584743</v>
          </cell>
        </row>
        <row r="11">
          <cell r="B11">
            <v>5</v>
          </cell>
          <cell r="C11">
            <v>1.035145541754914</v>
          </cell>
          <cell r="D11">
            <v>1.1120007970621504</v>
          </cell>
          <cell r="E11">
            <v>1.1803942176581308</v>
          </cell>
          <cell r="F11">
            <v>1.1999823408988637</v>
          </cell>
          <cell r="G11">
            <v>1.223136262233897</v>
          </cell>
        </row>
        <row r="12">
          <cell r="B12">
            <v>10</v>
          </cell>
          <cell r="C12">
            <v>1.0363915808339603</v>
          </cell>
          <cell r="D12">
            <v>1.128343927483459</v>
          </cell>
          <cell r="E12">
            <v>1.226157029430218</v>
          </cell>
          <cell r="F12">
            <v>1.2588039014981063</v>
          </cell>
          <cell r="G12">
            <v>1.3068293003985847</v>
          </cell>
        </row>
        <row r="13">
          <cell r="B13">
            <v>15</v>
          </cell>
          <cell r="C13">
            <v>1.0364762344742782</v>
          </cell>
          <cell r="D13">
            <v>1.1319868984923374</v>
          </cell>
          <cell r="E13">
            <v>1.2397824623214415</v>
          </cell>
          <cell r="F13">
            <v>1.2786619190568356</v>
          </cell>
          <cell r="G13">
            <v>1.3389428522601656</v>
          </cell>
        </row>
        <row r="14">
          <cell r="B14">
            <v>20</v>
          </cell>
          <cell r="C14">
            <v>1.0368915808339603</v>
          </cell>
          <cell r="D14">
            <v>1.1340154926941133</v>
          </cell>
          <cell r="E14">
            <v>1.2438421922696432</v>
          </cell>
          <cell r="F14">
            <v>1.2856895464657543</v>
          </cell>
          <cell r="G14">
            <v>1.3510336937494305</v>
          </cell>
        </row>
        <row r="20">
          <cell r="B20">
            <v>1</v>
          </cell>
          <cell r="C20">
            <v>1.0214074245177749</v>
          </cell>
          <cell r="D20">
            <v>1.0432001594124301</v>
          </cell>
          <cell r="E20">
            <v>1.0575537569533815</v>
          </cell>
          <cell r="F20">
            <v>1.0602248646680268</v>
          </cell>
          <cell r="G20">
            <v>1.0599659344415258</v>
          </cell>
        </row>
        <row r="21">
          <cell r="B21">
            <v>2</v>
          </cell>
          <cell r="C21">
            <v>1.0299841563161853</v>
          </cell>
          <cell r="D21">
            <v>1.0750146956319631</v>
          </cell>
          <cell r="E21">
            <v>1.1076254328912234</v>
          </cell>
          <cell r="F21">
            <v>1.1138580175587296</v>
          </cell>
          <cell r="G21">
            <v>1.1200000000000001</v>
          </cell>
        </row>
        <row r="22">
          <cell r="B22">
            <v>3</v>
          </cell>
          <cell r="C22">
            <v>1.0333148490355497</v>
          </cell>
          <cell r="D22">
            <v>1.0932720434479446</v>
          </cell>
          <cell r="E22">
            <v>1.1392628117720871</v>
          </cell>
          <cell r="F22">
            <v>1.1523215605992423</v>
          </cell>
          <cell r="G22">
            <v>1.1645454207446324</v>
          </cell>
        </row>
        <row r="23">
          <cell r="B23">
            <v>5</v>
          </cell>
          <cell r="C23">
            <v>1.035645541754914</v>
          </cell>
          <cell r="D23">
            <v>1.1125865796674774</v>
          </cell>
          <cell r="E23">
            <v>1.1829240826322316</v>
          </cell>
          <cell r="F23">
            <v>1.2039961546033231</v>
          </cell>
          <cell r="G23">
            <v>1.2316476174200552</v>
          </cell>
        </row>
        <row r="24">
          <cell r="B24">
            <v>10</v>
          </cell>
          <cell r="C24">
            <v>1.0373069271936424</v>
          </cell>
          <cell r="D24">
            <v>1.1310154926941132</v>
          </cell>
          <cell r="E24">
            <v>1.237192867399139</v>
          </cell>
          <cell r="F24">
            <v>1.2716204779434575</v>
          </cell>
          <cell r="G24">
            <v>1.3253860763293752</v>
          </cell>
        </row>
        <row r="25">
          <cell r="B25">
            <v>15</v>
          </cell>
          <cell r="C25">
            <v>1.0374762344742783</v>
          </cell>
          <cell r="D25">
            <v>1.1361584637029918</v>
          </cell>
          <cell r="E25">
            <v>1.2553601112541037</v>
          </cell>
          <cell r="F25">
            <v>1.2980978346884298</v>
          </cell>
          <cell r="G25">
            <v>1.3690223385632723</v>
          </cell>
        </row>
        <row r="26">
          <cell r="B26">
            <v>20</v>
          </cell>
          <cell r="C26">
            <v>1.0374762344742783</v>
          </cell>
          <cell r="D26">
            <v>1.1387156521065434</v>
          </cell>
          <cell r="E26">
            <v>1.2624616521660466</v>
          </cell>
          <cell r="F26">
            <v>1.3102448012835919</v>
          </cell>
          <cell r="G26">
            <v>1.3891018248663789</v>
          </cell>
        </row>
      </sheetData>
      <sheetData sheetId="1">
        <row r="55">
          <cell r="L55"/>
          <cell r="M55">
            <v>1</v>
          </cell>
          <cell r="N55">
            <v>2</v>
          </cell>
          <cell r="O55">
            <v>3</v>
          </cell>
          <cell r="P55">
            <v>4</v>
          </cell>
          <cell r="Q55">
            <v>5</v>
          </cell>
        </row>
        <row r="56">
          <cell r="L56">
            <v>0.3</v>
          </cell>
          <cell r="M56">
            <v>0.91700000000000004</v>
          </cell>
          <cell r="N56">
            <v>1.016</v>
          </cell>
          <cell r="O56">
            <v>1.0309999999999999</v>
          </cell>
          <cell r="P56">
            <v>0.89</v>
          </cell>
          <cell r="Q56">
            <v>4.2</v>
          </cell>
        </row>
        <row r="57">
          <cell r="L57">
            <v>0.4</v>
          </cell>
          <cell r="M57">
            <v>0.91800000000000004</v>
          </cell>
          <cell r="N57">
            <v>1.02</v>
          </cell>
          <cell r="O57">
            <v>1.0349999999999999</v>
          </cell>
          <cell r="P57">
            <v>0.89300000000000002</v>
          </cell>
          <cell r="Q57">
            <v>4.2889999999999997</v>
          </cell>
        </row>
        <row r="58">
          <cell r="L58">
            <v>0.5</v>
          </cell>
          <cell r="M58">
            <v>0.91900000000000004</v>
          </cell>
          <cell r="N58">
            <v>1.022</v>
          </cell>
          <cell r="O58">
            <v>1.0369999999999999</v>
          </cell>
          <cell r="P58">
            <v>0.89500000000000002</v>
          </cell>
          <cell r="Q58">
            <v>4.335</v>
          </cell>
        </row>
        <row r="59">
          <cell r="L59">
            <v>0.6</v>
          </cell>
          <cell r="M59">
            <v>0.92</v>
          </cell>
          <cell r="N59">
            <v>1.024</v>
          </cell>
          <cell r="O59">
            <v>1.0389999999999999</v>
          </cell>
          <cell r="P59">
            <v>0.89700000000000002</v>
          </cell>
          <cell r="Q59">
            <v>4.3819999999999997</v>
          </cell>
        </row>
        <row r="60">
          <cell r="L60">
            <v>0.8</v>
          </cell>
          <cell r="M60">
            <v>0.92100000000000004</v>
          </cell>
          <cell r="N60">
            <v>1.028</v>
          </cell>
          <cell r="O60">
            <v>1.0429999999999999</v>
          </cell>
          <cell r="P60">
            <v>0.90100000000000002</v>
          </cell>
          <cell r="Q60">
            <v>4.4749999999999996</v>
          </cell>
        </row>
        <row r="61">
          <cell r="L61">
            <v>1</v>
          </cell>
          <cell r="M61">
            <v>0.92300000000000004</v>
          </cell>
          <cell r="N61">
            <v>1.0309999999999999</v>
          </cell>
          <cell r="O61">
            <v>1.046</v>
          </cell>
          <cell r="P61">
            <v>0.90400000000000003</v>
          </cell>
          <cell r="Q61">
            <v>4.4939999999999998</v>
          </cell>
        </row>
        <row r="62">
          <cell r="L62">
            <v>1.2</v>
          </cell>
          <cell r="M62">
            <v>0.92500000000000004</v>
          </cell>
          <cell r="N62">
            <v>1.0309999999999999</v>
          </cell>
          <cell r="O62">
            <v>1.046</v>
          </cell>
          <cell r="P62">
            <v>0.90700000000000003</v>
          </cell>
          <cell r="Q62">
            <v>4.4690000000000003</v>
          </cell>
        </row>
        <row r="63">
          <cell r="L63">
            <v>1.5</v>
          </cell>
          <cell r="M63">
            <v>0.92700000000000005</v>
          </cell>
          <cell r="N63">
            <v>1.032</v>
          </cell>
          <cell r="O63">
            <v>1.0469999999999999</v>
          </cell>
          <cell r="P63">
            <v>0.91</v>
          </cell>
          <cell r="Q63">
            <v>4.4269999999999996</v>
          </cell>
        </row>
        <row r="64">
          <cell r="L64">
            <v>2</v>
          </cell>
          <cell r="M64">
            <v>0.93</v>
          </cell>
          <cell r="N64">
            <v>1.032</v>
          </cell>
          <cell r="O64">
            <v>1.0469999999999999</v>
          </cell>
          <cell r="P64">
            <v>0.91500000000000004</v>
          </cell>
          <cell r="Q64">
            <v>4.3499999999999996</v>
          </cell>
        </row>
        <row r="65">
          <cell r="L65">
            <v>3</v>
          </cell>
          <cell r="M65">
            <v>0.93400000000000005</v>
          </cell>
          <cell r="N65">
            <v>1.032</v>
          </cell>
          <cell r="O65">
            <v>1.0449999999999999</v>
          </cell>
          <cell r="P65">
            <v>0.92200000000000004</v>
          </cell>
          <cell r="Q65">
            <v>4.1790000000000003</v>
          </cell>
        </row>
        <row r="66">
          <cell r="L66">
            <v>4</v>
          </cell>
          <cell r="M66">
            <v>0.93899999999999995</v>
          </cell>
          <cell r="N66">
            <v>1.03</v>
          </cell>
          <cell r="O66">
            <v>1.042</v>
          </cell>
          <cell r="P66">
            <v>0.92900000000000005</v>
          </cell>
          <cell r="Q66">
            <v>3.9750000000000001</v>
          </cell>
        </row>
        <row r="67">
          <cell r="L67">
            <v>5</v>
          </cell>
          <cell r="M67">
            <v>0.94299999999999995</v>
          </cell>
          <cell r="N67">
            <v>1.028</v>
          </cell>
          <cell r="O67">
            <v>1.0389999999999999</v>
          </cell>
          <cell r="P67">
            <v>0.93500000000000005</v>
          </cell>
          <cell r="Q67">
            <v>3.7690000000000001</v>
          </cell>
        </row>
      </sheetData>
      <sheetData sheetId="2"/>
      <sheetData sheetId="3" refreshError="1"/>
      <sheetData sheetId="4"/>
      <sheetData sheetId="5">
        <row r="5">
          <cell r="B5">
            <v>0</v>
          </cell>
          <cell r="C5">
            <v>1.6</v>
          </cell>
          <cell r="D5">
            <v>2</v>
          </cell>
          <cell r="E5">
            <v>4</v>
          </cell>
          <cell r="F5">
            <v>6</v>
          </cell>
          <cell r="G5">
            <v>8</v>
          </cell>
        </row>
        <row r="6">
          <cell r="A6">
            <v>0</v>
          </cell>
          <cell r="B6">
            <v>100</v>
          </cell>
          <cell r="C6">
            <v>100</v>
          </cell>
          <cell r="D6">
            <v>100</v>
          </cell>
          <cell r="E6">
            <v>100</v>
          </cell>
          <cell r="F6">
            <v>100</v>
          </cell>
          <cell r="G6">
            <v>100</v>
          </cell>
        </row>
        <row r="7">
          <cell r="A7">
            <v>0.1</v>
          </cell>
          <cell r="B7">
            <v>75.622640091539637</v>
          </cell>
          <cell r="C7">
            <v>75.622203710412833</v>
          </cell>
          <cell r="D7">
            <v>75.622094615131132</v>
          </cell>
          <cell r="E7">
            <v>75.622204681842902</v>
          </cell>
          <cell r="F7">
            <v>75.622684755301194</v>
          </cell>
          <cell r="G7">
            <v>75.622879292385733</v>
          </cell>
        </row>
        <row r="8">
          <cell r="A8">
            <v>0.2</v>
          </cell>
          <cell r="B8">
            <v>61.191836682049654</v>
          </cell>
          <cell r="C8">
            <v>61.191122565357922</v>
          </cell>
          <cell r="D8">
            <v>61.190944036184987</v>
          </cell>
          <cell r="E8">
            <v>61.191107364470462</v>
          </cell>
          <cell r="F8">
            <v>61.191872580876392</v>
          </cell>
          <cell r="G8">
            <v>61.192183711252632</v>
          </cell>
        </row>
        <row r="9">
          <cell r="A9">
            <v>0.4</v>
          </cell>
          <cell r="B9">
            <v>42.255398616360566</v>
          </cell>
          <cell r="C9">
            <v>42.255854798067723</v>
          </cell>
          <cell r="D9">
            <v>42.255968843494514</v>
          </cell>
          <cell r="E9">
            <v>42.256453536558396</v>
          </cell>
          <cell r="F9">
            <v>42.25686452147368</v>
          </cell>
          <cell r="G9">
            <v>42.257287332310469</v>
          </cell>
        </row>
        <row r="10">
          <cell r="A10">
            <v>0.8</v>
          </cell>
          <cell r="B10">
            <v>24.274404995254358</v>
          </cell>
          <cell r="C10">
            <v>24.273288725756913</v>
          </cell>
          <cell r="D10">
            <v>24.273009658382552</v>
          </cell>
          <cell r="E10">
            <v>24.273226159475534</v>
          </cell>
          <cell r="F10">
            <v>24.27437515692716</v>
          </cell>
          <cell r="G10">
            <v>24.274844812772628</v>
          </cell>
        </row>
        <row r="11">
          <cell r="A11">
            <v>1.2</v>
          </cell>
          <cell r="B11">
            <v>15.490210230742157</v>
          </cell>
          <cell r="C11">
            <v>15.489198042146171</v>
          </cell>
          <cell r="D11">
            <v>15.488944994997174</v>
          </cell>
          <cell r="E11">
            <v>15.489130769167529</v>
          </cell>
          <cell r="F11">
            <v>15.490159827536246</v>
          </cell>
          <cell r="G11">
            <v>15.490581160187986</v>
          </cell>
        </row>
        <row r="12">
          <cell r="A12">
            <v>1.4</v>
          </cell>
          <cell r="B12">
            <v>12.204601952188394</v>
          </cell>
          <cell r="C12">
            <v>12.203592176055652</v>
          </cell>
          <cell r="D12">
            <v>12.203339732022467</v>
          </cell>
          <cell r="E12">
            <v>12.203454151133464</v>
          </cell>
          <cell r="F12">
            <v>12.204394597903047</v>
          </cell>
          <cell r="G12">
            <v>12.2047844330543</v>
          </cell>
        </row>
        <row r="13">
          <cell r="A13">
            <v>1.8</v>
          </cell>
          <cell r="B13">
            <v>7.6731280387765306</v>
          </cell>
          <cell r="C13">
            <v>7.6723783701923418</v>
          </cell>
          <cell r="D13">
            <v>7.6721909530462948</v>
          </cell>
          <cell r="E13">
            <v>7.6723269057046668</v>
          </cell>
          <cell r="F13">
            <v>7.6730870769187938</v>
          </cell>
          <cell r="G13">
            <v>7.6733984283000698</v>
          </cell>
        </row>
        <row r="18">
          <cell r="B18">
            <v>0</v>
          </cell>
          <cell r="C18">
            <v>1.6</v>
          </cell>
          <cell r="D18">
            <v>2</v>
          </cell>
          <cell r="E18">
            <v>4</v>
          </cell>
          <cell r="F18">
            <v>8</v>
          </cell>
          <cell r="G18">
            <v>10</v>
          </cell>
          <cell r="H18">
            <v>15</v>
          </cell>
        </row>
        <row r="19">
          <cell r="A19">
            <v>0</v>
          </cell>
          <cell r="B19">
            <v>100</v>
          </cell>
          <cell r="C19">
            <v>100</v>
          </cell>
          <cell r="D19">
            <v>100</v>
          </cell>
          <cell r="E19">
            <v>100</v>
          </cell>
          <cell r="F19">
            <v>100</v>
          </cell>
          <cell r="G19">
            <v>100</v>
          </cell>
          <cell r="H19">
            <v>100</v>
          </cell>
        </row>
        <row r="20">
          <cell r="A20">
            <v>0.1</v>
          </cell>
          <cell r="B20">
            <v>77.523359380539915</v>
          </cell>
          <cell r="C20">
            <v>77.523138959513773</v>
          </cell>
          <cell r="D20">
            <v>77.523083854257237</v>
          </cell>
          <cell r="E20">
            <v>77.523058710538066</v>
          </cell>
          <cell r="F20">
            <v>77.523181743251854</v>
          </cell>
          <cell r="G20">
            <v>77.523188685446257</v>
          </cell>
          <cell r="H20">
            <v>77.523273569120917</v>
          </cell>
        </row>
        <row r="21">
          <cell r="A21">
            <v>0.2</v>
          </cell>
          <cell r="B21">
            <v>63.537327470651391</v>
          </cell>
          <cell r="C21">
            <v>63.536965272003293</v>
          </cell>
          <cell r="D21">
            <v>63.536874722341267</v>
          </cell>
          <cell r="E21">
            <v>63.536831389857376</v>
          </cell>
          <cell r="F21">
            <v>63.537031165753909</v>
          </cell>
          <cell r="G21">
            <v>63.537042321904138</v>
          </cell>
          <cell r="H21">
            <v>63.537180289162237</v>
          </cell>
        </row>
        <row r="22">
          <cell r="A22">
            <v>0.4</v>
          </cell>
          <cell r="B22">
            <v>45.046640407124613</v>
          </cell>
          <cell r="C22">
            <v>45.04611236586382</v>
          </cell>
          <cell r="D22">
            <v>45.045980355548622</v>
          </cell>
          <cell r="E22">
            <v>45.045901480369267</v>
          </cell>
          <cell r="F22">
            <v>45.046174090925561</v>
          </cell>
          <cell r="G22">
            <v>45.04618839755733</v>
          </cell>
          <cell r="H22">
            <v>45.046377739759151</v>
          </cell>
        </row>
        <row r="23">
          <cell r="A23">
            <v>0.8</v>
          </cell>
          <cell r="B23">
            <v>26.550499137023351</v>
          </cell>
          <cell r="C23">
            <v>26.549876487226442</v>
          </cell>
          <cell r="D23">
            <v>26.549720824777214</v>
          </cell>
          <cell r="E23">
            <v>26.549619582782903</v>
          </cell>
          <cell r="F23">
            <v>26.5499312617508</v>
          </cell>
          <cell r="G23">
            <v>26.549947104976891</v>
          </cell>
          <cell r="H23">
            <v>26.55016418432605</v>
          </cell>
        </row>
        <row r="24">
          <cell r="A24">
            <v>1.2</v>
          </cell>
          <cell r="B24">
            <v>17.539395235118</v>
          </cell>
          <cell r="C24">
            <v>17.538782065699341</v>
          </cell>
          <cell r="D24">
            <v>17.538628773344676</v>
          </cell>
          <cell r="E24">
            <v>17.538508460927794</v>
          </cell>
          <cell r="F24">
            <v>17.538790927599862</v>
          </cell>
          <cell r="G24">
            <v>17.538803959734722</v>
          </cell>
          <cell r="H24">
            <v>17.539002247534551</v>
          </cell>
        </row>
        <row r="25">
          <cell r="A25">
            <v>1.4</v>
          </cell>
          <cell r="B25">
            <v>14.041784593657187</v>
          </cell>
          <cell r="C25">
            <v>14.041211286818051</v>
          </cell>
          <cell r="D25">
            <v>14.041067960108267</v>
          </cell>
          <cell r="E25">
            <v>14.040966373881417</v>
          </cell>
          <cell r="F25">
            <v>14.041243421142575</v>
          </cell>
          <cell r="G25">
            <v>14.041256965618274</v>
          </cell>
          <cell r="H25">
            <v>14.041450555523866</v>
          </cell>
        </row>
        <row r="26">
          <cell r="A26">
            <v>1.8</v>
          </cell>
          <cell r="B26">
            <v>9.0244659626998711</v>
          </cell>
          <cell r="C26">
            <v>9.0239687550145646</v>
          </cell>
          <cell r="D26">
            <v>9.023844453093238</v>
          </cell>
          <cell r="E26">
            <v>9.0237323808991636</v>
          </cell>
          <cell r="F26">
            <v>9.0239442005752011</v>
          </cell>
          <cell r="G26">
            <v>9.0239529586197307</v>
          </cell>
          <cell r="H26">
            <v>9.024102842406819</v>
          </cell>
        </row>
        <row r="34">
          <cell r="B34">
            <v>0</v>
          </cell>
          <cell r="C34">
            <v>1</v>
          </cell>
          <cell r="D34">
            <v>2</v>
          </cell>
          <cell r="E34">
            <v>3</v>
          </cell>
          <cell r="F34">
            <v>4</v>
          </cell>
          <cell r="G34">
            <v>5</v>
          </cell>
          <cell r="H34">
            <v>6</v>
          </cell>
          <cell r="I34">
            <v>8</v>
          </cell>
        </row>
        <row r="35">
          <cell r="A35">
            <v>0</v>
          </cell>
          <cell r="B35">
            <v>100</v>
          </cell>
          <cell r="C35">
            <v>100</v>
          </cell>
          <cell r="D35">
            <v>100</v>
          </cell>
          <cell r="E35">
            <v>100</v>
          </cell>
          <cell r="F35">
            <v>100</v>
          </cell>
          <cell r="G35">
            <v>100</v>
          </cell>
          <cell r="H35">
            <v>100</v>
          </cell>
          <cell r="I35">
            <v>100</v>
          </cell>
        </row>
        <row r="36">
          <cell r="A36">
            <v>0.4</v>
          </cell>
          <cell r="B36">
            <v>69.635969142857149</v>
          </cell>
          <cell r="C36">
            <v>71.840571428571437</v>
          </cell>
          <cell r="D36">
            <v>73.554285714285726</v>
          </cell>
          <cell r="E36">
            <v>74.769333333333336</v>
          </cell>
          <cell r="F36">
            <v>75.555333333333337</v>
          </cell>
          <cell r="G36">
            <v>76.25333333333333</v>
          </cell>
          <cell r="H36">
            <v>76.785023770039857</v>
          </cell>
          <cell r="I36">
            <v>77.701737976786248</v>
          </cell>
        </row>
        <row r="37">
          <cell r="A37">
            <v>0.8</v>
          </cell>
          <cell r="B37">
            <v>50.473453333333332</v>
          </cell>
          <cell r="C37">
            <v>53.884571428571427</v>
          </cell>
          <cell r="D37">
            <v>56.265619047619047</v>
          </cell>
          <cell r="E37">
            <v>57.825333333333333</v>
          </cell>
          <cell r="F37">
            <v>58.794666666666664</v>
          </cell>
          <cell r="G37">
            <v>59.565999999999995</v>
          </cell>
          <cell r="H37">
            <v>60.321964087216813</v>
          </cell>
          <cell r="I37">
            <v>61.606558928317106</v>
          </cell>
        </row>
        <row r="38">
          <cell r="A38">
            <v>1.6</v>
          </cell>
          <cell r="B38">
            <v>30.01810285714285</v>
          </cell>
          <cell r="C38">
            <v>33.598571428571425</v>
          </cell>
          <cell r="D38">
            <v>35.928285714285714</v>
          </cell>
          <cell r="E38">
            <v>37.50266666666667</v>
          </cell>
          <cell r="F38">
            <v>38.494</v>
          </cell>
          <cell r="G38">
            <v>39.250666666666667</v>
          </cell>
          <cell r="H38">
            <v>39.745567290274693</v>
          </cell>
          <cell r="I38">
            <v>40.456701870824062</v>
          </cell>
        </row>
        <row r="39">
          <cell r="A39">
            <v>2.4</v>
          </cell>
          <cell r="B39">
            <v>19.508747619047622</v>
          </cell>
          <cell r="C39">
            <v>22.425238095238097</v>
          </cell>
          <cell r="D39">
            <v>24.314952380952381</v>
          </cell>
          <cell r="E39">
            <v>25.772000000000002</v>
          </cell>
          <cell r="F39">
            <v>26.734000000000002</v>
          </cell>
          <cell r="G39">
            <v>27.490666666666669</v>
          </cell>
          <cell r="H39">
            <v>27.85512566112962</v>
          </cell>
          <cell r="I39">
            <v>28.320043650055528</v>
          </cell>
        </row>
        <row r="40">
          <cell r="A40">
            <v>3.2</v>
          </cell>
          <cell r="B40">
            <v>12.121120000000001</v>
          </cell>
          <cell r="C40">
            <v>14.221226190476191</v>
          </cell>
          <cell r="D40">
            <v>15.816285714285714</v>
          </cell>
          <cell r="E40">
            <v>17.119333333333334</v>
          </cell>
          <cell r="F40">
            <v>18.037333333333333</v>
          </cell>
          <cell r="G40">
            <v>18.779333333333334</v>
          </cell>
          <cell r="H40">
            <v>19.269615902392651</v>
          </cell>
          <cell r="I40">
            <v>20.044847707177951</v>
          </cell>
        </row>
        <row r="41">
          <cell r="A41">
            <v>4</v>
          </cell>
          <cell r="B41">
            <v>7.9099428571428572</v>
          </cell>
          <cell r="C41">
            <v>9.3885714285714279</v>
          </cell>
          <cell r="D41">
            <v>10.537619047619048</v>
          </cell>
          <cell r="E41">
            <v>11.576666666666666</v>
          </cell>
          <cell r="F41">
            <v>12.406666666666666</v>
          </cell>
          <cell r="G41">
            <v>13.09</v>
          </cell>
          <cell r="H41">
            <v>13.495244101588199</v>
          </cell>
          <cell r="I41">
            <v>14.159065638097935</v>
          </cell>
        </row>
        <row r="46">
          <cell r="B46">
            <v>0</v>
          </cell>
          <cell r="C46">
            <v>1</v>
          </cell>
          <cell r="D46">
            <v>2</v>
          </cell>
          <cell r="E46">
            <v>3</v>
          </cell>
          <cell r="F46">
            <v>4</v>
          </cell>
          <cell r="G46">
            <v>5</v>
          </cell>
          <cell r="H46">
            <v>6</v>
          </cell>
          <cell r="I46">
            <v>10</v>
          </cell>
          <cell r="J46">
            <v>15</v>
          </cell>
        </row>
        <row r="47">
          <cell r="A47">
            <v>0</v>
          </cell>
          <cell r="B47">
            <v>100</v>
          </cell>
          <cell r="C47">
            <v>100</v>
          </cell>
          <cell r="D47">
            <v>100</v>
          </cell>
          <cell r="E47">
            <v>100</v>
          </cell>
          <cell r="F47">
            <v>100</v>
          </cell>
          <cell r="G47">
            <v>100</v>
          </cell>
          <cell r="H47">
            <v>100</v>
          </cell>
          <cell r="I47">
            <v>100</v>
          </cell>
          <cell r="J47">
            <v>100</v>
          </cell>
        </row>
        <row r="48">
          <cell r="A48">
            <v>0.4</v>
          </cell>
          <cell r="B48">
            <v>71.588843194861695</v>
          </cell>
          <cell r="C48">
            <v>74.158328828530358</v>
          </cell>
          <cell r="D48">
            <v>76.004694833968088</v>
          </cell>
          <cell r="E48">
            <v>77.41106083940582</v>
          </cell>
          <cell r="F48">
            <v>78.135658406364698</v>
          </cell>
          <cell r="G48">
            <v>78.713589306656885</v>
          </cell>
          <cell r="H48">
            <v>78.986296683422793</v>
          </cell>
          <cell r="I48">
            <v>79.754459523819733</v>
          </cell>
          <cell r="J48">
            <v>80.5120326334673</v>
          </cell>
        </row>
        <row r="49">
          <cell r="A49">
            <v>0.8</v>
          </cell>
          <cell r="B49">
            <v>54.219498107507988</v>
          </cell>
          <cell r="C49">
            <v>57.12232444903097</v>
          </cell>
          <cell r="D49">
            <v>59.477479092498314</v>
          </cell>
          <cell r="E49">
            <v>61.216633735965665</v>
          </cell>
          <cell r="F49">
            <v>62.131183673048739</v>
          </cell>
          <cell r="G49">
            <v>62.818400276798478</v>
          </cell>
          <cell r="H49">
            <v>63.295963470976616</v>
          </cell>
          <cell r="I49">
            <v>64.758882914355823</v>
          </cell>
          <cell r="J49">
            <v>65.636342980262185</v>
          </cell>
        </row>
        <row r="50">
          <cell r="A50">
            <v>1.6</v>
          </cell>
          <cell r="B50">
            <v>33.219170420028284</v>
          </cell>
          <cell r="C50">
            <v>36.259434920550682</v>
          </cell>
          <cell r="D50">
            <v>38.621757167603114</v>
          </cell>
          <cell r="E50">
            <v>40.390079414655553</v>
          </cell>
          <cell r="F50">
            <v>41.335640312443878</v>
          </cell>
          <cell r="G50">
            <v>42.046534543565542</v>
          </cell>
          <cell r="H50">
            <v>42.449835500216992</v>
          </cell>
          <cell r="I50">
            <v>43.498372660156122</v>
          </cell>
          <cell r="J50">
            <v>44.410623513511091</v>
          </cell>
        </row>
        <row r="51">
          <cell r="A51">
            <v>2.4</v>
          </cell>
          <cell r="B51">
            <v>21.668981229957733</v>
          </cell>
          <cell r="C51">
            <v>24.386983309579183</v>
          </cell>
          <cell r="D51">
            <v>26.434810711985445</v>
          </cell>
          <cell r="E51">
            <v>28.064638114391709</v>
          </cell>
          <cell r="F51">
            <v>28.962625679713462</v>
          </cell>
          <cell r="G51">
            <v>29.669946578368549</v>
          </cell>
          <cell r="H51">
            <v>30.072472397765853</v>
          </cell>
          <cell r="I51">
            <v>31.161909008688419</v>
          </cell>
          <cell r="J51">
            <v>32.050832166512357</v>
          </cell>
        </row>
        <row r="52">
          <cell r="A52">
            <v>3.2</v>
          </cell>
          <cell r="B52">
            <v>14.811322153349264</v>
          </cell>
          <cell r="C52">
            <v>16.908056502888645</v>
          </cell>
          <cell r="D52">
            <v>18.546708723973921</v>
          </cell>
          <cell r="E52">
            <v>19.994694278392529</v>
          </cell>
          <cell r="F52">
            <v>20.830757832529066</v>
          </cell>
          <cell r="G52">
            <v>21.527488053332267</v>
          </cell>
          <cell r="H52">
            <v>21.914643571076898</v>
          </cell>
          <cell r="I52">
            <v>23.045265642055423</v>
          </cell>
          <cell r="J52">
            <v>23.911379998374912</v>
          </cell>
        </row>
        <row r="53">
          <cell r="A53">
            <v>4</v>
          </cell>
          <cell r="B53">
            <v>9.510126115864038</v>
          </cell>
          <cell r="C53">
            <v>11.144448239352187</v>
          </cell>
          <cell r="D53">
            <v>12.484642751009488</v>
          </cell>
          <cell r="E53">
            <v>13.751503929333456</v>
          </cell>
          <cell r="F53">
            <v>14.525976806096823</v>
          </cell>
          <cell r="G53">
            <v>15.190449682860187</v>
          </cell>
          <cell r="H53">
            <v>15.60631254962605</v>
          </cell>
          <cell r="I53">
            <v>16.646430683356165</v>
          </cell>
          <cell r="J53">
            <v>17.534195607072185</v>
          </cell>
        </row>
        <row r="61">
          <cell r="B61">
            <v>0</v>
          </cell>
          <cell r="C61">
            <v>1</v>
          </cell>
          <cell r="D61">
            <v>2</v>
          </cell>
          <cell r="E61">
            <v>3</v>
          </cell>
          <cell r="F61">
            <v>4</v>
          </cell>
          <cell r="G61">
            <v>5</v>
          </cell>
          <cell r="H61">
            <v>6</v>
          </cell>
          <cell r="I61">
            <v>8</v>
          </cell>
        </row>
        <row r="62">
          <cell r="A62">
            <v>0</v>
          </cell>
          <cell r="B62">
            <v>100</v>
          </cell>
          <cell r="C62">
            <v>100</v>
          </cell>
          <cell r="D62">
            <v>100</v>
          </cell>
          <cell r="E62">
            <v>100</v>
          </cell>
          <cell r="F62">
            <v>100</v>
          </cell>
          <cell r="G62">
            <v>100</v>
          </cell>
          <cell r="H62">
            <v>100</v>
          </cell>
          <cell r="I62">
            <v>100</v>
          </cell>
        </row>
        <row r="63">
          <cell r="A63">
            <v>0.5</v>
          </cell>
          <cell r="B63">
            <v>71.577000000000012</v>
          </cell>
          <cell r="C63">
            <v>75.900000000000006</v>
          </cell>
          <cell r="D63">
            <v>79.5</v>
          </cell>
          <cell r="E63">
            <v>82</v>
          </cell>
          <cell r="F63">
            <v>83.6</v>
          </cell>
          <cell r="G63">
            <v>84.7</v>
          </cell>
          <cell r="H63">
            <v>85.6</v>
          </cell>
          <cell r="I63">
            <v>86.7</v>
          </cell>
        </row>
        <row r="64">
          <cell r="A64">
            <v>1</v>
          </cell>
          <cell r="B64">
            <v>50.924999999999997</v>
          </cell>
          <cell r="C64">
            <v>58.2</v>
          </cell>
          <cell r="D64">
            <v>63.9</v>
          </cell>
          <cell r="E64">
            <v>68.099999999999994</v>
          </cell>
          <cell r="F64">
            <v>70.5</v>
          </cell>
          <cell r="G64">
            <v>72</v>
          </cell>
          <cell r="H64">
            <v>73.2</v>
          </cell>
          <cell r="I64">
            <v>74.900000000000006</v>
          </cell>
        </row>
        <row r="65">
          <cell r="A65">
            <v>2</v>
          </cell>
          <cell r="B65">
            <v>30.942999999999994</v>
          </cell>
          <cell r="C65">
            <v>37</v>
          </cell>
          <cell r="D65">
            <v>42.1</v>
          </cell>
          <cell r="E65">
            <v>46.1</v>
          </cell>
          <cell r="F65">
            <v>48.9</v>
          </cell>
          <cell r="G65">
            <v>50.9</v>
          </cell>
          <cell r="H65">
            <v>52.4</v>
          </cell>
          <cell r="I65">
            <v>54.4</v>
          </cell>
        </row>
        <row r="66">
          <cell r="A66">
            <v>3</v>
          </cell>
          <cell r="B66">
            <v>19.594000000000001</v>
          </cell>
          <cell r="C66">
            <v>24.1</v>
          </cell>
          <cell r="D66">
            <v>28</v>
          </cell>
          <cell r="E66">
            <v>31.5</v>
          </cell>
          <cell r="F66">
            <v>33.799999999999997</v>
          </cell>
          <cell r="G66">
            <v>35.700000000000003</v>
          </cell>
          <cell r="H66">
            <v>37.1</v>
          </cell>
          <cell r="I66">
            <v>39.299999999999997</v>
          </cell>
        </row>
        <row r="67">
          <cell r="A67">
            <v>4</v>
          </cell>
          <cell r="B67">
            <v>12.901</v>
          </cell>
          <cell r="C67">
            <v>16.3</v>
          </cell>
          <cell r="D67">
            <v>19.3</v>
          </cell>
          <cell r="E67">
            <v>21.6</v>
          </cell>
          <cell r="F67">
            <v>23.3</v>
          </cell>
          <cell r="G67">
            <v>24.9</v>
          </cell>
          <cell r="H67">
            <v>26.2</v>
          </cell>
          <cell r="I67">
            <v>28.3</v>
          </cell>
        </row>
        <row r="73">
          <cell r="B73">
            <v>0</v>
          </cell>
          <cell r="C73">
            <v>1</v>
          </cell>
          <cell r="D73">
            <v>2</v>
          </cell>
          <cell r="E73">
            <v>3</v>
          </cell>
          <cell r="F73">
            <v>4</v>
          </cell>
          <cell r="G73">
            <v>5</v>
          </cell>
          <cell r="H73">
            <v>6</v>
          </cell>
          <cell r="I73">
            <v>10</v>
          </cell>
          <cell r="J73">
            <v>15</v>
          </cell>
        </row>
        <row r="74">
          <cell r="A74">
            <v>0</v>
          </cell>
          <cell r="B74">
            <v>100</v>
          </cell>
          <cell r="C74">
            <v>100</v>
          </cell>
          <cell r="D74">
            <v>100</v>
          </cell>
          <cell r="E74">
            <v>100</v>
          </cell>
          <cell r="F74">
            <v>100</v>
          </cell>
          <cell r="G74">
            <v>100</v>
          </cell>
          <cell r="H74">
            <v>100</v>
          </cell>
          <cell r="I74">
            <v>100</v>
          </cell>
          <cell r="J74">
            <v>100</v>
          </cell>
        </row>
        <row r="75">
          <cell r="A75">
            <v>0.5</v>
          </cell>
          <cell r="B75">
            <v>73.359000000000009</v>
          </cell>
          <cell r="C75">
            <v>77.7</v>
          </cell>
          <cell r="D75">
            <v>81.3</v>
          </cell>
          <cell r="E75">
            <v>83.8</v>
          </cell>
          <cell r="F75">
            <v>85.4</v>
          </cell>
          <cell r="G75">
            <v>86.5</v>
          </cell>
          <cell r="H75">
            <v>87.3</v>
          </cell>
          <cell r="I75">
            <v>89</v>
          </cell>
          <cell r="J75">
            <v>90.3</v>
          </cell>
        </row>
        <row r="76">
          <cell r="A76">
            <v>1</v>
          </cell>
          <cell r="B76">
            <v>54.977999999999994</v>
          </cell>
          <cell r="C76">
            <v>61.5</v>
          </cell>
          <cell r="D76">
            <v>66.900000000000006</v>
          </cell>
          <cell r="E76">
            <v>70.7</v>
          </cell>
          <cell r="F76">
            <v>73.099999999999994</v>
          </cell>
          <cell r="G76">
            <v>74.8</v>
          </cell>
          <cell r="H76">
            <v>76</v>
          </cell>
          <cell r="I76">
            <v>79</v>
          </cell>
          <cell r="J76">
            <v>80.599999999999994</v>
          </cell>
        </row>
        <row r="77">
          <cell r="A77">
            <v>2</v>
          </cell>
          <cell r="B77">
            <v>34.046999999999997</v>
          </cell>
          <cell r="C77">
            <v>40.5</v>
          </cell>
          <cell r="D77">
            <v>45.9</v>
          </cell>
          <cell r="E77">
            <v>50.3</v>
          </cell>
          <cell r="F77">
            <v>53.2</v>
          </cell>
          <cell r="G77">
            <v>55.2</v>
          </cell>
          <cell r="H77">
            <v>56.7</v>
          </cell>
          <cell r="I77">
            <v>60</v>
          </cell>
          <cell r="J77">
            <v>61.9</v>
          </cell>
        </row>
        <row r="78">
          <cell r="A78">
            <v>3</v>
          </cell>
          <cell r="B78">
            <v>23.182999999999996</v>
          </cell>
          <cell r="C78">
            <v>27.9</v>
          </cell>
          <cell r="D78">
            <v>31.9</v>
          </cell>
          <cell r="E78">
            <v>35.299999999999997</v>
          </cell>
          <cell r="F78">
            <v>38</v>
          </cell>
          <cell r="G78">
            <v>40</v>
          </cell>
          <cell r="H78">
            <v>41.5</v>
          </cell>
          <cell r="I78">
            <v>45.2</v>
          </cell>
          <cell r="J78">
            <v>47.6</v>
          </cell>
        </row>
        <row r="79">
          <cell r="A79">
            <v>4</v>
          </cell>
          <cell r="B79">
            <v>15.648</v>
          </cell>
          <cell r="C79">
            <v>19.5</v>
          </cell>
          <cell r="D79">
            <v>22.7</v>
          </cell>
          <cell r="E79">
            <v>25.3</v>
          </cell>
          <cell r="F79">
            <v>27.2</v>
          </cell>
          <cell r="G79">
            <v>28.8</v>
          </cell>
          <cell r="H79">
            <v>30.1</v>
          </cell>
          <cell r="I79">
            <v>34</v>
          </cell>
          <cell r="J79">
            <v>37.1</v>
          </cell>
        </row>
        <row r="88">
          <cell r="B88">
            <v>0</v>
          </cell>
          <cell r="C88">
            <v>1</v>
          </cell>
          <cell r="D88">
            <v>2</v>
          </cell>
          <cell r="E88">
            <v>3</v>
          </cell>
          <cell r="F88">
            <v>4</v>
          </cell>
          <cell r="G88">
            <v>5</v>
          </cell>
          <cell r="H88">
            <v>6</v>
          </cell>
          <cell r="I88">
            <v>8</v>
          </cell>
        </row>
        <row r="89">
          <cell r="A89">
            <v>0</v>
          </cell>
          <cell r="B89">
            <v>100</v>
          </cell>
          <cell r="C89">
            <v>100</v>
          </cell>
          <cell r="D89">
            <v>100</v>
          </cell>
          <cell r="E89">
            <v>100</v>
          </cell>
          <cell r="F89">
            <v>100</v>
          </cell>
          <cell r="G89">
            <v>100</v>
          </cell>
          <cell r="H89">
            <v>100</v>
          </cell>
          <cell r="I89">
            <v>100</v>
          </cell>
        </row>
        <row r="90">
          <cell r="A90">
            <v>0.5</v>
          </cell>
          <cell r="B90">
            <v>73.751039999999989</v>
          </cell>
          <cell r="C90">
            <v>77.974000000000004</v>
          </cell>
          <cell r="D90">
            <v>81.451999999999998</v>
          </cell>
          <cell r="E90">
            <v>84.013000000000005</v>
          </cell>
          <cell r="F90">
            <v>85.613</v>
          </cell>
          <cell r="G90">
            <v>86.712999999999994</v>
          </cell>
          <cell r="H90">
            <v>87.491</v>
          </cell>
          <cell r="I90">
            <v>88.468999999999994</v>
          </cell>
        </row>
        <row r="91">
          <cell r="A91">
            <v>1</v>
          </cell>
          <cell r="B91">
            <v>55.275919999999992</v>
          </cell>
          <cell r="C91">
            <v>61.555</v>
          </cell>
          <cell r="D91">
            <v>66.706000000000003</v>
          </cell>
          <cell r="E91">
            <v>70.539999999999992</v>
          </cell>
          <cell r="F91">
            <v>72.94</v>
          </cell>
          <cell r="G91">
            <v>74.500999999999991</v>
          </cell>
          <cell r="H91">
            <v>75.700999999999993</v>
          </cell>
          <cell r="I91">
            <v>77.34</v>
          </cell>
        </row>
        <row r="92">
          <cell r="A92">
            <v>2</v>
          </cell>
          <cell r="B92">
            <v>33.250629999999994</v>
          </cell>
          <cell r="C92">
            <v>39.805999999999997</v>
          </cell>
          <cell r="D92">
            <v>45.332999999999998</v>
          </cell>
          <cell r="E92">
            <v>49.271999999999998</v>
          </cell>
          <cell r="F92">
            <v>52.072000000000003</v>
          </cell>
          <cell r="G92">
            <v>54.193999999999996</v>
          </cell>
          <cell r="H92">
            <v>55.816000000000003</v>
          </cell>
          <cell r="I92">
            <v>57.998999999999995</v>
          </cell>
        </row>
        <row r="93">
          <cell r="A93">
            <v>3</v>
          </cell>
          <cell r="B93">
            <v>22.197479999999995</v>
          </cell>
          <cell r="C93">
            <v>26.905999999999999</v>
          </cell>
          <cell r="D93">
            <v>30.927999999999997</v>
          </cell>
          <cell r="E93">
            <v>34.427999999999997</v>
          </cell>
          <cell r="F93">
            <v>36.972000000000001</v>
          </cell>
          <cell r="G93">
            <v>39.055</v>
          </cell>
          <cell r="H93">
            <v>40.637999999999998</v>
          </cell>
          <cell r="I93">
            <v>43.021000000000001</v>
          </cell>
        </row>
        <row r="94">
          <cell r="A94">
            <v>4</v>
          </cell>
          <cell r="B94">
            <v>15.168959999999998</v>
          </cell>
          <cell r="C94">
            <v>18.800999999999998</v>
          </cell>
          <cell r="D94">
            <v>21.800999999999998</v>
          </cell>
          <cell r="E94">
            <v>24.222999999999999</v>
          </cell>
          <cell r="F94">
            <v>26.105999999999998</v>
          </cell>
          <cell r="G94">
            <v>27.827999999999999</v>
          </cell>
          <cell r="H94">
            <v>29.25</v>
          </cell>
          <cell r="I94">
            <v>31.654999999999998</v>
          </cell>
        </row>
        <row r="100">
          <cell r="B100">
            <v>0</v>
          </cell>
          <cell r="C100">
            <v>1</v>
          </cell>
          <cell r="D100">
            <v>2</v>
          </cell>
          <cell r="E100">
            <v>3</v>
          </cell>
          <cell r="F100">
            <v>4</v>
          </cell>
          <cell r="G100">
            <v>5</v>
          </cell>
          <cell r="H100">
            <v>6</v>
          </cell>
          <cell r="I100">
            <v>10</v>
          </cell>
          <cell r="J100">
            <v>15</v>
          </cell>
        </row>
        <row r="101">
          <cell r="A101">
            <v>0</v>
          </cell>
          <cell r="B101">
            <v>100</v>
          </cell>
          <cell r="C101">
            <v>100</v>
          </cell>
          <cell r="D101">
            <v>100</v>
          </cell>
          <cell r="E101">
            <v>100</v>
          </cell>
          <cell r="F101">
            <v>100</v>
          </cell>
          <cell r="G101">
            <v>100</v>
          </cell>
          <cell r="H101">
            <v>100</v>
          </cell>
          <cell r="I101">
            <v>100</v>
          </cell>
          <cell r="J101">
            <v>100</v>
          </cell>
        </row>
        <row r="102">
          <cell r="A102">
            <v>0.5</v>
          </cell>
          <cell r="B102">
            <v>76.016159999999985</v>
          </cell>
          <cell r="C102">
            <v>80.14</v>
          </cell>
          <cell r="D102">
            <v>83.496000000000009</v>
          </cell>
          <cell r="E102">
            <v>85.935000000000002</v>
          </cell>
          <cell r="F102">
            <v>87.596000000000004</v>
          </cell>
          <cell r="G102">
            <v>88.635000000000005</v>
          </cell>
          <cell r="H102">
            <v>89.373999999999995</v>
          </cell>
          <cell r="I102">
            <v>90.951999999999998</v>
          </cell>
          <cell r="J102">
            <v>92.069000000000003</v>
          </cell>
        </row>
        <row r="103">
          <cell r="A103">
            <v>1</v>
          </cell>
          <cell r="B103">
            <v>58.265900000000009</v>
          </cell>
          <cell r="C103">
            <v>64.733000000000004</v>
          </cell>
          <cell r="D103">
            <v>70.010999999999996</v>
          </cell>
          <cell r="E103">
            <v>73.872</v>
          </cell>
          <cell r="F103">
            <v>76.210999999999999</v>
          </cell>
          <cell r="G103">
            <v>77.849999999999994</v>
          </cell>
          <cell r="H103">
            <v>79.05</v>
          </cell>
          <cell r="I103">
            <v>81.927999999999997</v>
          </cell>
          <cell r="J103">
            <v>83.710999999999999</v>
          </cell>
        </row>
        <row r="104">
          <cell r="A104">
            <v>2</v>
          </cell>
          <cell r="B104">
            <v>37.47885999999999</v>
          </cell>
          <cell r="C104">
            <v>44.037999999999997</v>
          </cell>
          <cell r="D104">
            <v>49.438000000000002</v>
          </cell>
          <cell r="E104">
            <v>53.959999999999994</v>
          </cell>
          <cell r="F104">
            <v>56.920999999999999</v>
          </cell>
          <cell r="G104">
            <v>59.103999999999999</v>
          </cell>
          <cell r="H104">
            <v>60.786999999999999</v>
          </cell>
          <cell r="I104">
            <v>64.51400000000001</v>
          </cell>
          <cell r="J104">
            <v>66.902000000000001</v>
          </cell>
        </row>
        <row r="105">
          <cell r="A105">
            <v>3</v>
          </cell>
          <cell r="B105">
            <v>25.786479999999997</v>
          </cell>
          <cell r="C105">
            <v>30.888999999999996</v>
          </cell>
          <cell r="D105">
            <v>35.193999999999996</v>
          </cell>
          <cell r="E105">
            <v>39.021000000000001</v>
          </cell>
          <cell r="F105">
            <v>41.903999999999996</v>
          </cell>
          <cell r="G105">
            <v>44.087000000000003</v>
          </cell>
          <cell r="H105">
            <v>45.831000000000003</v>
          </cell>
          <cell r="I105">
            <v>50.262999999999998</v>
          </cell>
          <cell r="J105">
            <v>53.09</v>
          </cell>
        </row>
        <row r="106">
          <cell r="A106">
            <v>4</v>
          </cell>
          <cell r="B106">
            <v>18.107520000000001</v>
          </cell>
          <cell r="C106">
            <v>22.367000000000001</v>
          </cell>
          <cell r="D106">
            <v>25.872</v>
          </cell>
          <cell r="E106">
            <v>28.594000000000001</v>
          </cell>
          <cell r="F106">
            <v>30.798999999999999</v>
          </cell>
          <cell r="G106">
            <v>32.704000000000001</v>
          </cell>
          <cell r="H106">
            <v>34.247999999999998</v>
          </cell>
          <cell r="I106">
            <v>38.819000000000003</v>
          </cell>
          <cell r="J106">
            <v>41.980000000000004</v>
          </cell>
        </row>
        <row r="115">
          <cell r="B115">
            <v>0</v>
          </cell>
          <cell r="C115">
            <v>1</v>
          </cell>
          <cell r="D115">
            <v>2</v>
          </cell>
          <cell r="E115">
            <v>3</v>
          </cell>
          <cell r="F115">
            <v>4</v>
          </cell>
          <cell r="G115">
            <v>5</v>
          </cell>
          <cell r="H115">
            <v>6</v>
          </cell>
          <cell r="I115">
            <v>8</v>
          </cell>
        </row>
        <row r="116">
          <cell r="A116">
            <v>0</v>
          </cell>
          <cell r="B116">
            <v>100</v>
          </cell>
          <cell r="C116">
            <v>100</v>
          </cell>
          <cell r="D116">
            <v>100</v>
          </cell>
          <cell r="E116">
            <v>100</v>
          </cell>
          <cell r="F116">
            <v>100</v>
          </cell>
          <cell r="G116">
            <v>100</v>
          </cell>
          <cell r="H116">
            <v>100</v>
          </cell>
          <cell r="I116">
            <v>100</v>
          </cell>
        </row>
        <row r="117">
          <cell r="A117">
            <v>0.5</v>
          </cell>
          <cell r="B117">
            <v>77.714999999999989</v>
          </cell>
          <cell r="C117">
            <v>81.599999999999994</v>
          </cell>
          <cell r="D117">
            <v>84.7</v>
          </cell>
          <cell r="E117">
            <v>86.9</v>
          </cell>
          <cell r="F117">
            <v>88.3</v>
          </cell>
          <cell r="G117">
            <v>89.3</v>
          </cell>
          <cell r="H117">
            <v>90</v>
          </cell>
          <cell r="I117">
            <v>90.9</v>
          </cell>
        </row>
        <row r="118">
          <cell r="A118">
            <v>1</v>
          </cell>
          <cell r="B118">
            <v>61.936000000000007</v>
          </cell>
          <cell r="C118">
            <v>67.5</v>
          </cell>
          <cell r="D118">
            <v>71.8</v>
          </cell>
          <cell r="E118">
            <v>74.900000000000006</v>
          </cell>
          <cell r="F118">
            <v>77.099999999999994</v>
          </cell>
          <cell r="G118">
            <v>78.7</v>
          </cell>
          <cell r="H118">
            <v>79.8</v>
          </cell>
          <cell r="I118">
            <v>81.400000000000006</v>
          </cell>
        </row>
        <row r="119">
          <cell r="A119">
            <v>2</v>
          </cell>
          <cell r="B119">
            <v>40.072499999999991</v>
          </cell>
          <cell r="C119">
            <v>45.8</v>
          </cell>
          <cell r="D119">
            <v>50.5</v>
          </cell>
          <cell r="E119">
            <v>54.4</v>
          </cell>
          <cell r="F119">
            <v>57.3</v>
          </cell>
          <cell r="G119">
            <v>59.4</v>
          </cell>
          <cell r="H119">
            <v>61.1</v>
          </cell>
          <cell r="I119">
            <v>63.6</v>
          </cell>
        </row>
        <row r="120">
          <cell r="A120">
            <v>3</v>
          </cell>
          <cell r="B120">
            <v>24.192</v>
          </cell>
          <cell r="C120">
            <v>30</v>
          </cell>
          <cell r="D120">
            <v>34.799999999999997</v>
          </cell>
          <cell r="E120">
            <v>39.299999999999997</v>
          </cell>
          <cell r="F120">
            <v>42</v>
          </cell>
          <cell r="G120">
            <v>44.1</v>
          </cell>
          <cell r="H120">
            <v>46</v>
          </cell>
          <cell r="I120">
            <v>49.1</v>
          </cell>
        </row>
        <row r="121">
          <cell r="A121">
            <v>4</v>
          </cell>
          <cell r="B121">
            <v>17.568000000000001</v>
          </cell>
          <cell r="C121">
            <v>22</v>
          </cell>
          <cell r="D121">
            <v>25.7</v>
          </cell>
          <cell r="E121">
            <v>28.7</v>
          </cell>
          <cell r="F121">
            <v>30.9</v>
          </cell>
          <cell r="G121">
            <v>32.9</v>
          </cell>
          <cell r="H121">
            <v>34.700000000000003</v>
          </cell>
          <cell r="I121">
            <v>37.6</v>
          </cell>
        </row>
        <row r="127">
          <cell r="B127">
            <v>0</v>
          </cell>
          <cell r="C127">
            <v>1</v>
          </cell>
          <cell r="D127">
            <v>2</v>
          </cell>
          <cell r="E127">
            <v>3</v>
          </cell>
          <cell r="F127">
            <v>4</v>
          </cell>
          <cell r="G127">
            <v>5</v>
          </cell>
          <cell r="H127">
            <v>6</v>
          </cell>
          <cell r="I127">
            <v>10</v>
          </cell>
          <cell r="J127">
            <v>15</v>
          </cell>
        </row>
        <row r="128">
          <cell r="A128">
            <v>0</v>
          </cell>
          <cell r="B128">
            <v>100</v>
          </cell>
          <cell r="C128">
            <v>100</v>
          </cell>
          <cell r="D128">
            <v>100</v>
          </cell>
          <cell r="E128">
            <v>100</v>
          </cell>
          <cell r="F128">
            <v>100</v>
          </cell>
          <cell r="G128">
            <v>100</v>
          </cell>
          <cell r="H128">
            <v>100</v>
          </cell>
          <cell r="I128">
            <v>100</v>
          </cell>
          <cell r="J128">
            <v>100</v>
          </cell>
        </row>
        <row r="129">
          <cell r="A129">
            <v>0.5</v>
          </cell>
          <cell r="B129">
            <v>79.992000000000004</v>
          </cell>
          <cell r="C129">
            <v>83.9</v>
          </cell>
          <cell r="D129">
            <v>87</v>
          </cell>
          <cell r="E129">
            <v>89.1</v>
          </cell>
          <cell r="F129">
            <v>90.4</v>
          </cell>
          <cell r="G129">
            <v>91.4</v>
          </cell>
          <cell r="H129">
            <v>92.1</v>
          </cell>
          <cell r="I129">
            <v>93.4</v>
          </cell>
          <cell r="J129">
            <v>94.5</v>
          </cell>
        </row>
        <row r="130">
          <cell r="A130">
            <v>1</v>
          </cell>
          <cell r="B130">
            <v>64.448999999999998</v>
          </cell>
          <cell r="C130">
            <v>70.099999999999994</v>
          </cell>
          <cell r="D130">
            <v>75.099999999999994</v>
          </cell>
          <cell r="E130">
            <v>78.7</v>
          </cell>
          <cell r="F130">
            <v>80.8</v>
          </cell>
          <cell r="G130">
            <v>82.3</v>
          </cell>
          <cell r="H130">
            <v>83.5</v>
          </cell>
          <cell r="I130">
            <v>86.3</v>
          </cell>
          <cell r="J130">
            <v>88.1</v>
          </cell>
        </row>
        <row r="131">
          <cell r="A131">
            <v>2</v>
          </cell>
          <cell r="B131">
            <v>44.49199999999999</v>
          </cell>
          <cell r="C131">
            <v>50.5</v>
          </cell>
          <cell r="D131">
            <v>55.6</v>
          </cell>
          <cell r="E131">
            <v>59.5</v>
          </cell>
          <cell r="F131">
            <v>62.6</v>
          </cell>
          <cell r="G131">
            <v>65</v>
          </cell>
          <cell r="H131">
            <v>66.900000000000006</v>
          </cell>
          <cell r="I131">
            <v>71.900000000000006</v>
          </cell>
          <cell r="J131">
            <v>75.5</v>
          </cell>
        </row>
        <row r="132">
          <cell r="A132">
            <v>3</v>
          </cell>
          <cell r="B132">
            <v>30.87</v>
          </cell>
          <cell r="C132">
            <v>36</v>
          </cell>
          <cell r="D132">
            <v>40.5</v>
          </cell>
          <cell r="E132">
            <v>45.1</v>
          </cell>
          <cell r="F132">
            <v>48</v>
          </cell>
          <cell r="G132">
            <v>50.5</v>
          </cell>
          <cell r="H132">
            <v>52.4</v>
          </cell>
          <cell r="I132">
            <v>58.8</v>
          </cell>
          <cell r="J132">
            <v>63</v>
          </cell>
        </row>
        <row r="133">
          <cell r="A133">
            <v>4</v>
          </cell>
          <cell r="B133">
            <v>21.921999999999997</v>
          </cell>
          <cell r="C133">
            <v>26.7</v>
          </cell>
          <cell r="D133">
            <v>30.8</v>
          </cell>
          <cell r="E133">
            <v>34.1</v>
          </cell>
          <cell r="F133">
            <v>36.700000000000003</v>
          </cell>
          <cell r="G133">
            <v>39</v>
          </cell>
          <cell r="H133">
            <v>40.9</v>
          </cell>
          <cell r="I133">
            <v>46.9</v>
          </cell>
          <cell r="J133">
            <v>51.4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E2E2E2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8.xml"/><Relationship Id="rId18" Type="http://schemas.openxmlformats.org/officeDocument/2006/relationships/image" Target="../media/image30.emf"/><Relationship Id="rId3" Type="http://schemas.openxmlformats.org/officeDocument/2006/relationships/vmlDrawing" Target="../drawings/vmlDrawing3.vml"/><Relationship Id="rId21" Type="http://schemas.openxmlformats.org/officeDocument/2006/relationships/control" Target="../activeX/activeX32.xml"/><Relationship Id="rId7" Type="http://schemas.openxmlformats.org/officeDocument/2006/relationships/control" Target="../activeX/activeX25.xml"/><Relationship Id="rId12" Type="http://schemas.openxmlformats.org/officeDocument/2006/relationships/image" Target="../media/image27.emf"/><Relationship Id="rId17" Type="http://schemas.openxmlformats.org/officeDocument/2006/relationships/control" Target="../activeX/activeX30.xml"/><Relationship Id="rId2" Type="http://schemas.openxmlformats.org/officeDocument/2006/relationships/drawing" Target="../drawings/drawing3.xml"/><Relationship Id="rId16" Type="http://schemas.openxmlformats.org/officeDocument/2006/relationships/image" Target="../media/image29.emf"/><Relationship Id="rId20" Type="http://schemas.openxmlformats.org/officeDocument/2006/relationships/image" Target="../media/image31.emf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24.emf"/><Relationship Id="rId11" Type="http://schemas.openxmlformats.org/officeDocument/2006/relationships/control" Target="../activeX/activeX27.xml"/><Relationship Id="rId24" Type="http://schemas.openxmlformats.org/officeDocument/2006/relationships/image" Target="../media/image33.emf"/><Relationship Id="rId5" Type="http://schemas.openxmlformats.org/officeDocument/2006/relationships/control" Target="../activeX/activeX24.xml"/><Relationship Id="rId15" Type="http://schemas.openxmlformats.org/officeDocument/2006/relationships/control" Target="../activeX/activeX29.xml"/><Relationship Id="rId23" Type="http://schemas.openxmlformats.org/officeDocument/2006/relationships/control" Target="../activeX/activeX33.xml"/><Relationship Id="rId10" Type="http://schemas.openxmlformats.org/officeDocument/2006/relationships/image" Target="../media/image26.emf"/><Relationship Id="rId19" Type="http://schemas.openxmlformats.org/officeDocument/2006/relationships/control" Target="../activeX/activeX31.xml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26.xml"/><Relationship Id="rId14" Type="http://schemas.openxmlformats.org/officeDocument/2006/relationships/image" Target="../media/image28.emf"/><Relationship Id="rId22" Type="http://schemas.openxmlformats.org/officeDocument/2006/relationships/image" Target="../media/image3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4" Type="http://schemas.openxmlformats.org/officeDocument/2006/relationships/image" Target="../media/image36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Relationship Id="rId6" Type="http://schemas.openxmlformats.org/officeDocument/2006/relationships/image" Target="../media/image38.emf"/><Relationship Id="rId5" Type="http://schemas.openxmlformats.org/officeDocument/2006/relationships/control" Target="../activeX/activeX36.xml"/><Relationship Id="rId4" Type="http://schemas.openxmlformats.org/officeDocument/2006/relationships/image" Target="../media/image3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K34" sqref="K34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8"/>
  <sheetViews>
    <sheetView tabSelected="1" workbookViewId="0">
      <selection activeCell="C3" sqref="C3:F3"/>
    </sheetView>
  </sheetViews>
  <sheetFormatPr defaultRowHeight="14.25" x14ac:dyDescent="0.2"/>
  <cols>
    <col min="1" max="1" width="11.7109375" style="3" customWidth="1"/>
    <col min="2" max="12" width="9.140625" style="3"/>
    <col min="13" max="13" width="10.140625" style="3" bestFit="1" customWidth="1"/>
    <col min="14" max="14" width="9.140625" style="3"/>
    <col min="15" max="15" width="10.140625" style="3" bestFit="1" customWidth="1"/>
    <col min="16" max="16" width="9.140625" style="3"/>
    <col min="17" max="17" width="10.85546875" style="3" customWidth="1"/>
    <col min="18" max="18" width="12.140625" style="3" customWidth="1"/>
    <col min="19" max="19" width="11.28515625" style="3" customWidth="1"/>
    <col min="20" max="16384" width="9.140625" style="3"/>
  </cols>
  <sheetData>
    <row r="1" spans="1:15" ht="18.75" thickBot="1" x14ac:dyDescent="0.3">
      <c r="A1" s="81" t="s">
        <v>49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</row>
    <row r="2" spans="1:15" ht="11.25" customHeight="1" x14ac:dyDescent="0.2"/>
    <row r="3" spans="1:15" ht="15" x14ac:dyDescent="0.25">
      <c r="A3" s="4" t="s">
        <v>42</v>
      </c>
      <c r="C3" s="203"/>
      <c r="D3" s="204"/>
      <c r="E3" s="204"/>
      <c r="F3" s="205"/>
      <c r="G3" s="28" t="s">
        <v>43</v>
      </c>
      <c r="H3" s="206"/>
      <c r="I3" s="207"/>
    </row>
    <row r="4" spans="1:15" ht="15" x14ac:dyDescent="0.25">
      <c r="A4" s="4" t="s">
        <v>44</v>
      </c>
      <c r="C4" s="203"/>
      <c r="D4" s="204"/>
      <c r="E4" s="204"/>
      <c r="F4" s="205"/>
      <c r="G4" s="28" t="s">
        <v>45</v>
      </c>
      <c r="H4" s="206"/>
      <c r="I4" s="207"/>
    </row>
    <row r="5" spans="1:15" ht="15" x14ac:dyDescent="0.25">
      <c r="A5" s="208" t="s">
        <v>48</v>
      </c>
      <c r="B5" s="209"/>
      <c r="C5" s="41"/>
      <c r="D5" s="4" t="s">
        <v>38</v>
      </c>
    </row>
    <row r="6" spans="1:15" ht="15" x14ac:dyDescent="0.25">
      <c r="A6" s="4" t="s">
        <v>47</v>
      </c>
      <c r="C6" s="42"/>
      <c r="F6" s="189" t="s">
        <v>46</v>
      </c>
      <c r="G6" s="193" t="str">
        <f>IF(Presc_num_frac,Presc_total_dose/Presc_num_frac,"")</f>
        <v/>
      </c>
      <c r="H6" s="4" t="s">
        <v>38</v>
      </c>
      <c r="L6" s="44"/>
    </row>
    <row r="8" spans="1:15" ht="16.5" customHeight="1" x14ac:dyDescent="0.25">
      <c r="A8" s="70" t="s">
        <v>12</v>
      </c>
      <c r="B8" s="71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</row>
    <row r="12" spans="1:15" ht="17.25" customHeight="1" x14ac:dyDescent="0.25">
      <c r="A12" s="73" t="s">
        <v>13</v>
      </c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</row>
    <row r="13" spans="1:15" ht="9" customHeight="1" x14ac:dyDescent="0.25">
      <c r="A13" s="9"/>
    </row>
    <row r="14" spans="1:15" ht="15" x14ac:dyDescent="0.25">
      <c r="B14" s="198" t="s">
        <v>14</v>
      </c>
      <c r="C14" s="199"/>
      <c r="D14" s="199"/>
      <c r="E14" s="200"/>
      <c r="G14" s="201" t="s">
        <v>15</v>
      </c>
      <c r="H14" s="202"/>
    </row>
    <row r="18" spans="1:15" ht="16.5" customHeight="1" x14ac:dyDescent="0.25">
      <c r="A18" s="75" t="s">
        <v>52</v>
      </c>
      <c r="B18" s="76"/>
      <c r="C18" s="76"/>
      <c r="D18" s="76"/>
      <c r="E18" s="76"/>
      <c r="F18" s="76"/>
      <c r="G18" s="75" t="s">
        <v>60</v>
      </c>
      <c r="H18" s="76"/>
      <c r="I18" s="76"/>
      <c r="J18" s="76"/>
      <c r="K18" s="76"/>
      <c r="L18" s="76"/>
      <c r="M18" s="76"/>
      <c r="N18" s="76"/>
      <c r="O18" s="76"/>
    </row>
    <row r="19" spans="1:15" x14ac:dyDescent="0.2">
      <c r="E19" s="45" t="s">
        <v>61</v>
      </c>
    </row>
    <row r="20" spans="1:15" ht="15" x14ac:dyDescent="0.25">
      <c r="E20" s="194"/>
      <c r="G20" s="195" t="s">
        <v>122</v>
      </c>
      <c r="H20" s="195"/>
      <c r="I20" s="196"/>
      <c r="J20" s="42"/>
    </row>
    <row r="21" spans="1:15" x14ac:dyDescent="0.2">
      <c r="F21" s="32"/>
      <c r="G21" s="32"/>
    </row>
    <row r="22" spans="1:15" ht="16.5" customHeight="1" x14ac:dyDescent="0.25">
      <c r="A22" s="77" t="s">
        <v>50</v>
      </c>
      <c r="B22" s="78"/>
      <c r="C22" s="78"/>
      <c r="D22" s="78"/>
      <c r="E22" s="78"/>
      <c r="F22" s="79" t="s">
        <v>51</v>
      </c>
      <c r="G22" s="78"/>
      <c r="H22" s="78"/>
      <c r="I22" s="78"/>
      <c r="J22" s="78"/>
      <c r="K22" s="78"/>
      <c r="L22" s="78"/>
      <c r="M22" s="78"/>
      <c r="N22" s="78"/>
      <c r="O22" s="78"/>
    </row>
    <row r="24" spans="1:15" x14ac:dyDescent="0.2">
      <c r="G24" s="32"/>
      <c r="H24" s="43" t="s">
        <v>123</v>
      </c>
      <c r="I24" s="42"/>
      <c r="J24" s="3" t="s">
        <v>2</v>
      </c>
    </row>
    <row r="25" spans="1:15" x14ac:dyDescent="0.2">
      <c r="G25" s="32"/>
      <c r="H25" s="43" t="s">
        <v>88</v>
      </c>
      <c r="I25" s="42"/>
      <c r="J25" s="3" t="s">
        <v>2</v>
      </c>
    </row>
    <row r="26" spans="1:15" x14ac:dyDescent="0.2">
      <c r="D26" s="190"/>
      <c r="E26" s="191"/>
      <c r="H26" s="63" t="s">
        <v>73</v>
      </c>
      <c r="I26" s="101"/>
      <c r="J26" s="3" t="s">
        <v>41</v>
      </c>
    </row>
    <row r="27" spans="1:15" x14ac:dyDescent="0.2">
      <c r="D27" s="190"/>
      <c r="E27" s="191"/>
    </row>
    <row r="28" spans="1:15" ht="12" customHeight="1" thickBot="1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</row>
    <row r="29" spans="1:15" ht="15" x14ac:dyDescent="0.25">
      <c r="A29" s="4" t="s">
        <v>22</v>
      </c>
      <c r="F29" s="4" t="s">
        <v>56</v>
      </c>
    </row>
    <row r="30" spans="1:15" ht="15" x14ac:dyDescent="0.25">
      <c r="C30" s="28" t="s">
        <v>63</v>
      </c>
      <c r="D30" s="4" t="s">
        <v>10</v>
      </c>
      <c r="F30" s="3" t="s">
        <v>57</v>
      </c>
      <c r="H30" s="30"/>
      <c r="I30" s="197" t="s">
        <v>59</v>
      </c>
      <c r="J30" s="197"/>
      <c r="K30" s="197"/>
      <c r="L30" s="31"/>
    </row>
    <row r="31" spans="1:15" ht="15.75" x14ac:dyDescent="0.25">
      <c r="A31" s="4" t="s">
        <v>21</v>
      </c>
      <c r="B31" s="103"/>
      <c r="C31" s="25"/>
      <c r="D31" s="37"/>
      <c r="F31" s="46"/>
      <c r="G31" s="47" t="s">
        <v>103</v>
      </c>
      <c r="H31" s="91"/>
      <c r="I31" s="48" t="s">
        <v>2</v>
      </c>
    </row>
    <row r="32" spans="1:15" ht="15.75" x14ac:dyDescent="0.25">
      <c r="A32" s="4" t="s">
        <v>31</v>
      </c>
      <c r="B32" s="104"/>
      <c r="C32" s="116"/>
      <c r="D32" s="4" t="s">
        <v>124</v>
      </c>
      <c r="G32" s="100" t="s">
        <v>104</v>
      </c>
      <c r="H32" s="31"/>
      <c r="I32" s="4" t="s">
        <v>2</v>
      </c>
      <c r="J32" s="27" t="s">
        <v>62</v>
      </c>
      <c r="K32" s="31" t="e">
        <f>SSD_sel^2/(SSD_sel+Presc_gap)^2</f>
        <v>#DIV/0!</v>
      </c>
    </row>
    <row r="33" spans="1:14" ht="16.5" x14ac:dyDescent="0.3">
      <c r="A33" s="99" t="s">
        <v>106</v>
      </c>
      <c r="B33" s="36"/>
      <c r="C33" s="4" t="s">
        <v>36</v>
      </c>
    </row>
    <row r="34" spans="1:14" ht="16.5" x14ac:dyDescent="0.3">
      <c r="A34" s="99" t="s">
        <v>107</v>
      </c>
      <c r="B34" s="35"/>
      <c r="C34" s="4" t="s">
        <v>35</v>
      </c>
      <c r="G34" s="102" t="s">
        <v>105</v>
      </c>
      <c r="H34" s="33" t="e">
        <f>D0_sel*PDD_sel/100*Bw_sel*Bw_corr*ISL_sel</f>
        <v>#DIV/0!</v>
      </c>
      <c r="I34" s="4" t="s">
        <v>36</v>
      </c>
      <c r="M34" s="105"/>
      <c r="N34" s="108"/>
    </row>
    <row r="35" spans="1:14" x14ac:dyDescent="0.2">
      <c r="M35" s="105"/>
      <c r="N35" s="109"/>
    </row>
    <row r="36" spans="1:14" ht="15.75" x14ac:dyDescent="0.25">
      <c r="A36" s="4" t="s">
        <v>37</v>
      </c>
      <c r="F36" s="2" t="s">
        <v>54</v>
      </c>
      <c r="G36" s="84"/>
      <c r="H36" s="84"/>
      <c r="K36" s="67"/>
      <c r="M36" s="110"/>
      <c r="N36" s="105"/>
    </row>
    <row r="37" spans="1:14" ht="15.75" x14ac:dyDescent="0.25">
      <c r="A37" s="3" t="s">
        <v>39</v>
      </c>
      <c r="C37" s="29" t="str">
        <f>G6</f>
        <v/>
      </c>
      <c r="D37" s="4" t="s">
        <v>38</v>
      </c>
      <c r="G37" s="4" t="s">
        <v>55</v>
      </c>
      <c r="H37" s="34" t="e">
        <f>Dprescr/Dose_rate-tsh_sel</f>
        <v>#VALUE!</v>
      </c>
      <c r="I37" s="2" t="s">
        <v>35</v>
      </c>
      <c r="M37" s="109"/>
      <c r="N37" s="105"/>
    </row>
    <row r="38" spans="1:14" ht="15" x14ac:dyDescent="0.25">
      <c r="A38" s="3" t="s">
        <v>40</v>
      </c>
      <c r="C38" s="26">
        <f>E20</f>
        <v>0</v>
      </c>
      <c r="D38" s="4" t="s">
        <v>41</v>
      </c>
    </row>
  </sheetData>
  <mergeCells count="9">
    <mergeCell ref="G20:I20"/>
    <mergeCell ref="I30:K30"/>
    <mergeCell ref="B14:E14"/>
    <mergeCell ref="G14:H14"/>
    <mergeCell ref="C3:F3"/>
    <mergeCell ref="C4:F4"/>
    <mergeCell ref="H3:I3"/>
    <mergeCell ref="H4:I4"/>
    <mergeCell ref="A5:B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7" r:id="rId4" name="Bw_irreg">
          <controlPr defaultSize="0" autoLine="0" r:id="rId5">
            <anchor moveWithCells="1">
              <from>
                <xdr:col>3</xdr:col>
                <xdr:colOff>342900</xdr:colOff>
                <xdr:row>22</xdr:row>
                <xdr:rowOff>66675</xdr:rowOff>
              </from>
              <to>
                <xdr:col>4</xdr:col>
                <xdr:colOff>304800</xdr:colOff>
                <xdr:row>24</xdr:row>
                <xdr:rowOff>114300</xdr:rowOff>
              </to>
            </anchor>
          </controlPr>
        </control>
      </mc:Choice>
      <mc:Fallback>
        <control shapeId="3107" r:id="rId4" name="Bw_irreg"/>
      </mc:Fallback>
    </mc:AlternateContent>
    <mc:AlternateContent xmlns:mc="http://schemas.openxmlformats.org/markup-compatibility/2006">
      <mc:Choice Requires="x14">
        <control shapeId="3106" r:id="rId6" name="Bw_oval">
          <controlPr defaultSize="0" autoLine="0" r:id="rId7">
            <anchor moveWithCells="1">
              <from>
                <xdr:col>2</xdr:col>
                <xdr:colOff>276225</xdr:colOff>
                <xdr:row>22</xdr:row>
                <xdr:rowOff>66675</xdr:rowOff>
              </from>
              <to>
                <xdr:col>3</xdr:col>
                <xdr:colOff>257175</xdr:colOff>
                <xdr:row>24</xdr:row>
                <xdr:rowOff>114300</xdr:rowOff>
              </to>
            </anchor>
          </controlPr>
        </control>
      </mc:Choice>
      <mc:Fallback>
        <control shapeId="3106" r:id="rId6" name="Bw_oval"/>
      </mc:Fallback>
    </mc:AlternateContent>
    <mc:AlternateContent xmlns:mc="http://schemas.openxmlformats.org/markup-compatibility/2006">
      <mc:Choice Requires="x14">
        <control shapeId="3105" r:id="rId8" name="Bw_circle">
          <controlPr defaultSize="0" autoLine="0" r:id="rId9">
            <anchor moveWithCells="1">
              <from>
                <xdr:col>1</xdr:col>
                <xdr:colOff>66675</xdr:colOff>
                <xdr:row>22</xdr:row>
                <xdr:rowOff>66675</xdr:rowOff>
              </from>
              <to>
                <xdr:col>2</xdr:col>
                <xdr:colOff>190500</xdr:colOff>
                <xdr:row>24</xdr:row>
                <xdr:rowOff>114300</xdr:rowOff>
              </to>
            </anchor>
          </controlPr>
        </control>
      </mc:Choice>
      <mc:Fallback>
        <control shapeId="3105" r:id="rId8" name="Bw_circle"/>
      </mc:Fallback>
    </mc:AlternateContent>
    <mc:AlternateContent xmlns:mc="http://schemas.openxmlformats.org/markup-compatibility/2006">
      <mc:Choice Requires="x14">
        <control shapeId="3104" r:id="rId10" name="PDD_other">
          <controlPr defaultSize="0" autoLine="0" r:id="rId11">
            <anchor moveWithCells="1">
              <from>
                <xdr:col>3</xdr:col>
                <xdr:colOff>76200</xdr:colOff>
                <xdr:row>18</xdr:row>
                <xdr:rowOff>85725</xdr:rowOff>
              </from>
              <to>
                <xdr:col>3</xdr:col>
                <xdr:colOff>542925</xdr:colOff>
                <xdr:row>20</xdr:row>
                <xdr:rowOff>123825</xdr:rowOff>
              </to>
            </anchor>
          </controlPr>
        </control>
      </mc:Choice>
      <mc:Fallback>
        <control shapeId="3104" r:id="rId10" name="PDD_other"/>
      </mc:Fallback>
    </mc:AlternateContent>
    <mc:AlternateContent xmlns:mc="http://schemas.openxmlformats.org/markup-compatibility/2006">
      <mc:Choice Requires="x14">
        <control shapeId="3103" r:id="rId12" name="PDD80">
          <controlPr defaultSize="0" autoLine="0" r:id="rId13">
            <anchor moveWithCells="1">
              <from>
                <xdr:col>2</xdr:col>
                <xdr:colOff>76200</xdr:colOff>
                <xdr:row>18</xdr:row>
                <xdr:rowOff>85725</xdr:rowOff>
              </from>
              <to>
                <xdr:col>2</xdr:col>
                <xdr:colOff>542925</xdr:colOff>
                <xdr:row>20</xdr:row>
                <xdr:rowOff>123825</xdr:rowOff>
              </to>
            </anchor>
          </controlPr>
        </control>
      </mc:Choice>
      <mc:Fallback>
        <control shapeId="3103" r:id="rId12" name="PDD80"/>
      </mc:Fallback>
    </mc:AlternateContent>
    <mc:AlternateContent xmlns:mc="http://schemas.openxmlformats.org/markup-compatibility/2006">
      <mc:Choice Requires="x14">
        <control shapeId="3102" r:id="rId14" name="PDD90">
          <controlPr defaultSize="0" autoLine="0" r:id="rId15">
            <anchor moveWithCells="1">
              <from>
                <xdr:col>1</xdr:col>
                <xdr:colOff>76200</xdr:colOff>
                <xdr:row>18</xdr:row>
                <xdr:rowOff>76200</xdr:rowOff>
              </from>
              <to>
                <xdr:col>1</xdr:col>
                <xdr:colOff>542925</xdr:colOff>
                <xdr:row>20</xdr:row>
                <xdr:rowOff>114300</xdr:rowOff>
              </to>
            </anchor>
          </controlPr>
        </control>
      </mc:Choice>
      <mc:Fallback>
        <control shapeId="3102" r:id="rId14" name="PDD90"/>
      </mc:Fallback>
    </mc:AlternateContent>
    <mc:AlternateContent xmlns:mc="http://schemas.openxmlformats.org/markup-compatibility/2006">
      <mc:Choice Requires="x14">
        <control shapeId="3101" r:id="rId16" name="Appl_F">
          <controlPr defaultSize="0" autoLine="0" r:id="rId17">
            <anchor moveWithCells="1">
              <from>
                <xdr:col>7</xdr:col>
                <xdr:colOff>76200</xdr:colOff>
                <xdr:row>14</xdr:row>
                <xdr:rowOff>66675</xdr:rowOff>
              </from>
              <to>
                <xdr:col>7</xdr:col>
                <xdr:colOff>542925</xdr:colOff>
                <xdr:row>16</xdr:row>
                <xdr:rowOff>114300</xdr:rowOff>
              </to>
            </anchor>
          </controlPr>
        </control>
      </mc:Choice>
      <mc:Fallback>
        <control shapeId="3101" r:id="rId16" name="Appl_F"/>
      </mc:Fallback>
    </mc:AlternateContent>
    <mc:AlternateContent xmlns:mc="http://schemas.openxmlformats.org/markup-compatibility/2006">
      <mc:Choice Requires="x14">
        <control shapeId="3100" r:id="rId18" name="Appl_E">
          <controlPr defaultSize="0" autoLine="0" r:id="rId19">
            <anchor moveWithCells="1">
              <from>
                <xdr:col>6</xdr:col>
                <xdr:colOff>76200</xdr:colOff>
                <xdr:row>14</xdr:row>
                <xdr:rowOff>66675</xdr:rowOff>
              </from>
              <to>
                <xdr:col>6</xdr:col>
                <xdr:colOff>542925</xdr:colOff>
                <xdr:row>16</xdr:row>
                <xdr:rowOff>114300</xdr:rowOff>
              </to>
            </anchor>
          </controlPr>
        </control>
      </mc:Choice>
      <mc:Fallback>
        <control shapeId="3100" r:id="rId18" name="Appl_E"/>
      </mc:Fallback>
    </mc:AlternateContent>
    <mc:AlternateContent xmlns:mc="http://schemas.openxmlformats.org/markup-compatibility/2006">
      <mc:Choice Requires="x14">
        <control shapeId="3099" r:id="rId20" name="Appl_D">
          <controlPr defaultSize="0" autoLine="0" r:id="rId21">
            <anchor moveWithCells="1">
              <from>
                <xdr:col>4</xdr:col>
                <xdr:colOff>76200</xdr:colOff>
                <xdr:row>14</xdr:row>
                <xdr:rowOff>76200</xdr:rowOff>
              </from>
              <to>
                <xdr:col>4</xdr:col>
                <xdr:colOff>542925</xdr:colOff>
                <xdr:row>16</xdr:row>
                <xdr:rowOff>123825</xdr:rowOff>
              </to>
            </anchor>
          </controlPr>
        </control>
      </mc:Choice>
      <mc:Fallback>
        <control shapeId="3099" r:id="rId20" name="Appl_D"/>
      </mc:Fallback>
    </mc:AlternateContent>
    <mc:AlternateContent xmlns:mc="http://schemas.openxmlformats.org/markup-compatibility/2006">
      <mc:Choice Requires="x14">
        <control shapeId="3098" r:id="rId22" name="Appl_C">
          <controlPr defaultSize="0" autoLine="0" r:id="rId23">
            <anchor moveWithCells="1">
              <from>
                <xdr:col>3</xdr:col>
                <xdr:colOff>76200</xdr:colOff>
                <xdr:row>14</xdr:row>
                <xdr:rowOff>76200</xdr:rowOff>
              </from>
              <to>
                <xdr:col>3</xdr:col>
                <xdr:colOff>542925</xdr:colOff>
                <xdr:row>16</xdr:row>
                <xdr:rowOff>123825</xdr:rowOff>
              </to>
            </anchor>
          </controlPr>
        </control>
      </mc:Choice>
      <mc:Fallback>
        <control shapeId="3098" r:id="rId22" name="Appl_C"/>
      </mc:Fallback>
    </mc:AlternateContent>
    <mc:AlternateContent xmlns:mc="http://schemas.openxmlformats.org/markup-compatibility/2006">
      <mc:Choice Requires="x14">
        <control shapeId="3097" r:id="rId24" name="Appl_B">
          <controlPr defaultSize="0" autoLine="0" r:id="rId25">
            <anchor moveWithCells="1">
              <from>
                <xdr:col>2</xdr:col>
                <xdr:colOff>76200</xdr:colOff>
                <xdr:row>14</xdr:row>
                <xdr:rowOff>66675</xdr:rowOff>
              </from>
              <to>
                <xdr:col>2</xdr:col>
                <xdr:colOff>542925</xdr:colOff>
                <xdr:row>16</xdr:row>
                <xdr:rowOff>114300</xdr:rowOff>
              </to>
            </anchor>
          </controlPr>
        </control>
      </mc:Choice>
      <mc:Fallback>
        <control shapeId="3097" r:id="rId24" name="Appl_B"/>
      </mc:Fallback>
    </mc:AlternateContent>
    <mc:AlternateContent xmlns:mc="http://schemas.openxmlformats.org/markup-compatibility/2006">
      <mc:Choice Requires="x14">
        <control shapeId="3096" r:id="rId26" name="Appl_A">
          <controlPr defaultSize="0" autoLine="0" r:id="rId27">
            <anchor moveWithCells="1">
              <from>
                <xdr:col>1</xdr:col>
                <xdr:colOff>76200</xdr:colOff>
                <xdr:row>14</xdr:row>
                <xdr:rowOff>76200</xdr:rowOff>
              </from>
              <to>
                <xdr:col>1</xdr:col>
                <xdr:colOff>542925</xdr:colOff>
                <xdr:row>16</xdr:row>
                <xdr:rowOff>123825</xdr:rowOff>
              </to>
            </anchor>
          </controlPr>
        </control>
      </mc:Choice>
      <mc:Fallback>
        <control shapeId="3096" r:id="rId26" name="Appl_A"/>
      </mc:Fallback>
    </mc:AlternateContent>
    <mc:AlternateContent xmlns:mc="http://schemas.openxmlformats.org/markup-compatibility/2006">
      <mc:Choice Requires="x14">
        <control shapeId="3095" r:id="rId28" name="F5">
          <controlPr defaultSize="0" autoLine="0" r:id="rId29">
            <anchor moveWithCells="1">
              <from>
                <xdr:col>6</xdr:col>
                <xdr:colOff>552450</xdr:colOff>
                <xdr:row>8</xdr:row>
                <xdr:rowOff>76200</xdr:rowOff>
              </from>
              <to>
                <xdr:col>8</xdr:col>
                <xdr:colOff>9525</xdr:colOff>
                <xdr:row>10</xdr:row>
                <xdr:rowOff>123825</xdr:rowOff>
              </to>
            </anchor>
          </controlPr>
        </control>
      </mc:Choice>
      <mc:Fallback>
        <control shapeId="3095" r:id="rId28" name="F5"/>
      </mc:Fallback>
    </mc:AlternateContent>
    <mc:AlternateContent xmlns:mc="http://schemas.openxmlformats.org/markup-compatibility/2006">
      <mc:Choice Requires="x14">
        <control shapeId="3094" r:id="rId30" name="F4">
          <controlPr defaultSize="0" autoLine="0" r:id="rId31">
            <anchor moveWithCells="1">
              <from>
                <xdr:col>5</xdr:col>
                <xdr:colOff>276225</xdr:colOff>
                <xdr:row>8</xdr:row>
                <xdr:rowOff>76200</xdr:rowOff>
              </from>
              <to>
                <xdr:col>6</xdr:col>
                <xdr:colOff>342900</xdr:colOff>
                <xdr:row>10</xdr:row>
                <xdr:rowOff>123825</xdr:rowOff>
              </to>
            </anchor>
          </controlPr>
        </control>
      </mc:Choice>
      <mc:Fallback>
        <control shapeId="3094" r:id="rId30" name="F4"/>
      </mc:Fallback>
    </mc:AlternateContent>
    <mc:AlternateContent xmlns:mc="http://schemas.openxmlformats.org/markup-compatibility/2006">
      <mc:Choice Requires="x14">
        <control shapeId="3093" r:id="rId32" name="F3">
          <controlPr defaultSize="0" autoLine="0" r:id="rId33">
            <anchor moveWithCells="1">
              <from>
                <xdr:col>4</xdr:col>
                <xdr:colOff>9525</xdr:colOff>
                <xdr:row>8</xdr:row>
                <xdr:rowOff>76200</xdr:rowOff>
              </from>
              <to>
                <xdr:col>5</xdr:col>
                <xdr:colOff>76200</xdr:colOff>
                <xdr:row>10</xdr:row>
                <xdr:rowOff>123825</xdr:rowOff>
              </to>
            </anchor>
          </controlPr>
        </control>
      </mc:Choice>
      <mc:Fallback>
        <control shapeId="3093" r:id="rId32" name="F3"/>
      </mc:Fallback>
    </mc:AlternateContent>
    <mc:AlternateContent xmlns:mc="http://schemas.openxmlformats.org/markup-compatibility/2006">
      <mc:Choice Requires="x14">
        <control shapeId="3092" r:id="rId34" name="F2">
          <controlPr locked="0" defaultSize="0" autoLine="0" r:id="rId35">
            <anchor moveWithCells="1">
              <from>
                <xdr:col>2</xdr:col>
                <xdr:colOff>342900</xdr:colOff>
                <xdr:row>8</xdr:row>
                <xdr:rowOff>76200</xdr:rowOff>
              </from>
              <to>
                <xdr:col>3</xdr:col>
                <xdr:colOff>409575</xdr:colOff>
                <xdr:row>10</xdr:row>
                <xdr:rowOff>123825</xdr:rowOff>
              </to>
            </anchor>
          </controlPr>
        </control>
      </mc:Choice>
      <mc:Fallback>
        <control shapeId="3092" r:id="rId34" name="F2"/>
      </mc:Fallback>
    </mc:AlternateContent>
    <mc:AlternateContent xmlns:mc="http://schemas.openxmlformats.org/markup-compatibility/2006">
      <mc:Choice Requires="x14">
        <control shapeId="3091" r:id="rId36" name="F1">
          <controlPr defaultSize="0" autoLine="0" r:id="rId37">
            <anchor moveWithCells="1">
              <from>
                <xdr:col>1</xdr:col>
                <xdr:colOff>76200</xdr:colOff>
                <xdr:row>8</xdr:row>
                <xdr:rowOff>76200</xdr:rowOff>
              </from>
              <to>
                <xdr:col>2</xdr:col>
                <xdr:colOff>142875</xdr:colOff>
                <xdr:row>10</xdr:row>
                <xdr:rowOff>123825</xdr:rowOff>
              </to>
            </anchor>
          </controlPr>
        </control>
      </mc:Choice>
      <mc:Fallback>
        <control shapeId="3091" r:id="rId36" name="F1"/>
      </mc:Fallback>
    </mc:AlternateContent>
    <mc:AlternateContent xmlns:mc="http://schemas.openxmlformats.org/markup-compatibility/2006">
      <mc:Choice Requires="x14">
        <control shapeId="3109" r:id="rId38" name="Bw_partial">
          <controlPr defaultSize="0" autoLine="0" r:id="rId39">
            <anchor moveWithCells="1">
              <from>
                <xdr:col>1</xdr:col>
                <xdr:colOff>57150</xdr:colOff>
                <xdr:row>24</xdr:row>
                <xdr:rowOff>161925</xdr:rowOff>
              </from>
              <to>
                <xdr:col>2</xdr:col>
                <xdr:colOff>581025</xdr:colOff>
                <xdr:row>27</xdr:row>
                <xdr:rowOff>38100</xdr:rowOff>
              </to>
            </anchor>
          </controlPr>
        </control>
      </mc:Choice>
      <mc:Fallback>
        <control shapeId="3109" r:id="rId38" name="Bw_partial"/>
      </mc:Fallback>
    </mc:AlternateContent>
    <mc:AlternateContent xmlns:mc="http://schemas.openxmlformats.org/markup-compatibility/2006">
      <mc:Choice Requires="x14">
        <control shapeId="3110" r:id="rId40" name="Bone_Dose">
          <controlPr defaultSize="0" autoLine="0" r:id="rId41">
            <anchor moveWithCells="1">
              <from>
                <xdr:col>5</xdr:col>
                <xdr:colOff>152400</xdr:colOff>
                <xdr:row>22</xdr:row>
                <xdr:rowOff>76200</xdr:rowOff>
              </from>
              <to>
                <xdr:col>6</xdr:col>
                <xdr:colOff>9525</xdr:colOff>
                <xdr:row>24</xdr:row>
                <xdr:rowOff>123825</xdr:rowOff>
              </to>
            </anchor>
          </controlPr>
        </control>
      </mc:Choice>
      <mc:Fallback>
        <control shapeId="3110" r:id="rId40" name="Bone_Dose"/>
      </mc:Fallback>
    </mc:AlternateContent>
    <mc:AlternateContent xmlns:mc="http://schemas.openxmlformats.org/markup-compatibility/2006">
      <mc:Choice Requires="x14">
        <control shapeId="3112" r:id="rId42" name="Verify_calc">
          <controlPr defaultSize="0" autoLine="0" r:id="rId43">
            <anchor moveWithCells="1">
              <from>
                <xdr:col>12</xdr:col>
                <xdr:colOff>476250</xdr:colOff>
                <xdr:row>28</xdr:row>
                <xdr:rowOff>66675</xdr:rowOff>
              </from>
              <to>
                <xdr:col>14</xdr:col>
                <xdr:colOff>657225</xdr:colOff>
                <xdr:row>30</xdr:row>
                <xdr:rowOff>171450</xdr:rowOff>
              </to>
            </anchor>
          </controlPr>
        </control>
      </mc:Choice>
      <mc:Fallback>
        <control shapeId="3112" r:id="rId42" name="Verify_calc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H1:L2"/>
  <sheetViews>
    <sheetView workbookViewId="0">
      <selection activeCell="K3" sqref="K3"/>
    </sheetView>
  </sheetViews>
  <sheetFormatPr defaultRowHeight="15" x14ac:dyDescent="0.25"/>
  <cols>
    <col min="10" max="10" width="11.28515625" customWidth="1"/>
  </cols>
  <sheetData>
    <row r="1" spans="8:12" x14ac:dyDescent="0.25">
      <c r="H1" t="s">
        <v>1</v>
      </c>
      <c r="K1" s="1">
        <v>5</v>
      </c>
      <c r="L1" t="s">
        <v>2</v>
      </c>
    </row>
    <row r="2" spans="8:12" x14ac:dyDescent="0.25">
      <c r="H2" t="s">
        <v>0</v>
      </c>
      <c r="K2" s="1">
        <v>5</v>
      </c>
      <c r="L2" t="s">
        <v>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6" r:id="rId4" name="CommandButton2">
          <controlPr defaultSize="0" autoLine="0" autoPict="0" r:id="rId5">
            <anchor moveWithCells="1">
              <from>
                <xdr:col>7</xdr:col>
                <xdr:colOff>190500</xdr:colOff>
                <xdr:row>35</xdr:row>
                <xdr:rowOff>57150</xdr:rowOff>
              </from>
              <to>
                <xdr:col>8</xdr:col>
                <xdr:colOff>533400</xdr:colOff>
                <xdr:row>38</xdr:row>
                <xdr:rowOff>57150</xdr:rowOff>
              </to>
            </anchor>
          </controlPr>
        </control>
      </mc:Choice>
      <mc:Fallback>
        <control shapeId="2066" r:id="rId4" name="CommandButton2"/>
      </mc:Fallback>
    </mc:AlternateContent>
    <mc:AlternateContent xmlns:mc="http://schemas.openxmlformats.org/markup-compatibility/2006">
      <mc:Choice Requires="x14">
        <control shapeId="2056" r:id="rId6" name="ComboBox1">
          <controlPr defaultSize="0" autoLine="0" r:id="rId7">
            <anchor moveWithCells="1">
              <from>
                <xdr:col>0</xdr:col>
                <xdr:colOff>238125</xdr:colOff>
                <xdr:row>0</xdr:row>
                <xdr:rowOff>95250</xdr:rowOff>
              </from>
              <to>
                <xdr:col>6</xdr:col>
                <xdr:colOff>438150</xdr:colOff>
                <xdr:row>1</xdr:row>
                <xdr:rowOff>142875</xdr:rowOff>
              </to>
            </anchor>
          </controlPr>
        </control>
      </mc:Choice>
      <mc:Fallback>
        <control shapeId="2056" r:id="rId6" name="ComboBox1"/>
      </mc:Fallback>
    </mc:AlternateContent>
    <mc:AlternateContent xmlns:mc="http://schemas.openxmlformats.org/markup-compatibility/2006">
      <mc:Choice Requires="x14">
        <control shapeId="2059" r:id="rId8" name="CommandButton1">
          <controlPr defaultSize="0" autoLine="0" autoPict="0" r:id="rId9">
            <anchor moveWithCells="1">
              <from>
                <xdr:col>0</xdr:col>
                <xdr:colOff>38100</xdr:colOff>
                <xdr:row>35</xdr:row>
                <xdr:rowOff>57150</xdr:rowOff>
              </from>
              <to>
                <xdr:col>3</xdr:col>
                <xdr:colOff>533400</xdr:colOff>
                <xdr:row>38</xdr:row>
                <xdr:rowOff>57150</xdr:rowOff>
              </to>
            </anchor>
          </controlPr>
        </control>
      </mc:Choice>
      <mc:Fallback>
        <control shapeId="2059" r:id="rId8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J35"/>
  <sheetViews>
    <sheetView zoomScaleNormal="100" workbookViewId="0">
      <selection activeCell="P35" sqref="P35"/>
    </sheetView>
  </sheetViews>
  <sheetFormatPr defaultRowHeight="14.25" x14ac:dyDescent="0.2"/>
  <cols>
    <col min="1" max="1" width="16.42578125" style="3" customWidth="1"/>
    <col min="2" max="3" width="9.140625" style="3"/>
    <col min="4" max="4" width="5.42578125" style="3" customWidth="1"/>
    <col min="5" max="5" width="8" style="3" customWidth="1"/>
    <col min="6" max="6" width="10.28515625" style="3" customWidth="1"/>
    <col min="7" max="7" width="9.140625" style="3"/>
    <col min="8" max="8" width="8.42578125" style="3" customWidth="1"/>
    <col min="9" max="16384" width="9.140625" style="3"/>
  </cols>
  <sheetData>
    <row r="1" spans="1:10" ht="15" x14ac:dyDescent="0.25">
      <c r="A1" s="4" t="s">
        <v>42</v>
      </c>
      <c r="B1" s="203"/>
      <c r="C1" s="204"/>
      <c r="D1" s="204"/>
      <c r="E1" s="205"/>
      <c r="G1" s="28" t="s">
        <v>43</v>
      </c>
      <c r="H1" s="203"/>
      <c r="I1" s="204"/>
      <c r="J1" s="205"/>
    </row>
    <row r="2" spans="1:10" ht="15" x14ac:dyDescent="0.25">
      <c r="A2" s="4" t="s">
        <v>44</v>
      </c>
      <c r="B2" s="203"/>
      <c r="C2" s="204"/>
      <c r="D2" s="204"/>
      <c r="E2" s="205"/>
      <c r="G2" s="28" t="s">
        <v>45</v>
      </c>
      <c r="H2" s="203"/>
      <c r="I2" s="204"/>
      <c r="J2" s="205"/>
    </row>
    <row r="3" spans="1:10" ht="11.25" customHeight="1" x14ac:dyDescent="0.2"/>
    <row r="4" spans="1:10" x14ac:dyDescent="0.2">
      <c r="A4" s="3" t="s">
        <v>82</v>
      </c>
      <c r="B4" s="210"/>
      <c r="C4" s="211"/>
      <c r="D4" s="212"/>
      <c r="G4" s="107" t="s">
        <v>110</v>
      </c>
      <c r="H4" s="213"/>
      <c r="I4" s="214"/>
    </row>
    <row r="5" spans="1:10" x14ac:dyDescent="0.2">
      <c r="A5" s="3" t="s">
        <v>114</v>
      </c>
      <c r="B5" s="210"/>
      <c r="C5" s="211"/>
      <c r="D5" s="212"/>
      <c r="G5" s="107" t="s">
        <v>111</v>
      </c>
      <c r="H5" s="213"/>
      <c r="I5" s="214"/>
    </row>
    <row r="6" spans="1:10" ht="12" customHeight="1" x14ac:dyDescent="0.2"/>
    <row r="7" spans="1:10" ht="18" x14ac:dyDescent="0.25">
      <c r="A7" s="83" t="s">
        <v>21</v>
      </c>
      <c r="B7" s="89" t="s">
        <v>17</v>
      </c>
    </row>
    <row r="8" spans="1:10" x14ac:dyDescent="0.2">
      <c r="A8" s="66" t="s">
        <v>63</v>
      </c>
      <c r="B8" s="96"/>
      <c r="C8" s="3" t="s">
        <v>63</v>
      </c>
    </row>
    <row r="9" spans="1:10" x14ac:dyDescent="0.2">
      <c r="A9" s="66" t="s">
        <v>77</v>
      </c>
      <c r="B9" s="95"/>
      <c r="C9" s="3" t="s">
        <v>80</v>
      </c>
    </row>
    <row r="10" spans="1:10" ht="18.75" x14ac:dyDescent="0.35">
      <c r="A10" s="66" t="s">
        <v>78</v>
      </c>
      <c r="B10" s="92"/>
      <c r="C10" s="3" t="s">
        <v>35</v>
      </c>
    </row>
    <row r="11" spans="1:10" ht="12" customHeight="1" x14ac:dyDescent="0.2"/>
    <row r="12" spans="1:10" ht="18" x14ac:dyDescent="0.25">
      <c r="A12" s="83" t="s">
        <v>31</v>
      </c>
      <c r="B12" s="89" t="s">
        <v>113</v>
      </c>
    </row>
    <row r="13" spans="1:10" x14ac:dyDescent="0.2">
      <c r="A13" s="66" t="s">
        <v>79</v>
      </c>
    </row>
    <row r="14" spans="1:10" ht="11.25" customHeight="1" x14ac:dyDescent="0.2"/>
    <row r="15" spans="1:10" ht="21" x14ac:dyDescent="0.35">
      <c r="A15" s="94" t="s">
        <v>81</v>
      </c>
      <c r="B15" s="97"/>
      <c r="C15" s="3" t="s">
        <v>36</v>
      </c>
    </row>
    <row r="16" spans="1:10" ht="10.5" customHeight="1" x14ac:dyDescent="0.2"/>
    <row r="17" spans="1:10" ht="18" x14ac:dyDescent="0.25">
      <c r="A17" s="83" t="s">
        <v>37</v>
      </c>
      <c r="E17" s="83" t="s">
        <v>51</v>
      </c>
    </row>
    <row r="18" spans="1:10" x14ac:dyDescent="0.2">
      <c r="A18" s="66" t="s">
        <v>83</v>
      </c>
      <c r="B18" s="92"/>
      <c r="C18" s="3" t="s">
        <v>38</v>
      </c>
      <c r="E18" s="66" t="s">
        <v>86</v>
      </c>
      <c r="G18" s="3" t="s">
        <v>2</v>
      </c>
      <c r="H18" s="66" t="s">
        <v>93</v>
      </c>
      <c r="I18" s="96"/>
      <c r="J18" s="3" t="s">
        <v>41</v>
      </c>
    </row>
    <row r="19" spans="1:10" x14ac:dyDescent="0.2">
      <c r="A19" s="66" t="s">
        <v>84</v>
      </c>
      <c r="B19" s="96"/>
      <c r="E19" s="66" t="s">
        <v>87</v>
      </c>
      <c r="G19" s="3" t="s">
        <v>2</v>
      </c>
      <c r="H19" s="66" t="s">
        <v>90</v>
      </c>
      <c r="I19" s="92"/>
    </row>
    <row r="20" spans="1:10" ht="18.75" x14ac:dyDescent="0.35">
      <c r="A20" s="66" t="s">
        <v>102</v>
      </c>
      <c r="B20" s="68"/>
      <c r="C20" s="3" t="s">
        <v>65</v>
      </c>
      <c r="H20" s="85" t="s">
        <v>72</v>
      </c>
      <c r="I20" s="95"/>
    </row>
    <row r="21" spans="1:10" ht="11.25" customHeight="1" x14ac:dyDescent="0.2"/>
    <row r="22" spans="1:10" ht="18.75" x14ac:dyDescent="0.35">
      <c r="A22" s="66" t="s">
        <v>85</v>
      </c>
      <c r="B22" s="96"/>
      <c r="E22" s="3" t="s">
        <v>95</v>
      </c>
      <c r="F22" s="84"/>
      <c r="G22" s="93"/>
      <c r="H22" s="84" t="s">
        <v>38</v>
      </c>
    </row>
    <row r="23" spans="1:10" x14ac:dyDescent="0.2">
      <c r="A23" s="66" t="s">
        <v>86</v>
      </c>
      <c r="B23" s="95"/>
      <c r="C23" s="3" t="s">
        <v>2</v>
      </c>
      <c r="F23" s="66" t="s">
        <v>96</v>
      </c>
      <c r="H23" s="3" t="s">
        <v>65</v>
      </c>
    </row>
    <row r="24" spans="1:10" x14ac:dyDescent="0.2">
      <c r="A24" s="66" t="s">
        <v>90</v>
      </c>
      <c r="B24" s="92"/>
    </row>
    <row r="25" spans="1:10" ht="11.25" customHeight="1" x14ac:dyDescent="0.2">
      <c r="E25" s="5"/>
      <c r="F25" s="5"/>
      <c r="G25" s="5"/>
      <c r="H25" s="5"/>
      <c r="I25" s="5"/>
    </row>
    <row r="26" spans="1:10" ht="18" x14ac:dyDescent="0.25">
      <c r="A26" s="83" t="s">
        <v>91</v>
      </c>
      <c r="E26" s="5"/>
    </row>
    <row r="27" spans="1:10" x14ac:dyDescent="0.2">
      <c r="A27" s="66" t="s">
        <v>112</v>
      </c>
      <c r="E27" s="5"/>
    </row>
    <row r="28" spans="1:10" x14ac:dyDescent="0.2">
      <c r="A28" s="66" t="s">
        <v>92</v>
      </c>
      <c r="B28" s="95"/>
      <c r="C28" s="3" t="s">
        <v>2</v>
      </c>
      <c r="E28" s="5"/>
    </row>
    <row r="29" spans="1:10" x14ac:dyDescent="0.2">
      <c r="A29" s="66" t="s">
        <v>89</v>
      </c>
      <c r="B29" s="68"/>
      <c r="C29" s="47"/>
      <c r="D29" s="192"/>
      <c r="E29" s="5"/>
    </row>
    <row r="30" spans="1:10" x14ac:dyDescent="0.2">
      <c r="C30" s="47"/>
      <c r="D30" s="192"/>
      <c r="E30" s="5"/>
    </row>
    <row r="31" spans="1:10" ht="18" x14ac:dyDescent="0.25">
      <c r="A31" s="83" t="s">
        <v>94</v>
      </c>
      <c r="E31" s="5"/>
    </row>
    <row r="32" spans="1:10" x14ac:dyDescent="0.2">
      <c r="A32" s="66" t="s">
        <v>97</v>
      </c>
      <c r="C32" s="3" t="s">
        <v>36</v>
      </c>
      <c r="E32" s="5"/>
    </row>
    <row r="33" spans="1:5" ht="15" x14ac:dyDescent="0.2">
      <c r="A33" s="98" t="s">
        <v>98</v>
      </c>
      <c r="B33" s="93"/>
      <c r="C33" s="84" t="s">
        <v>35</v>
      </c>
      <c r="E33" s="5"/>
    </row>
    <row r="34" spans="1:5" x14ac:dyDescent="0.2">
      <c r="E34" s="5"/>
    </row>
    <row r="35" spans="1:5" x14ac:dyDescent="0.2">
      <c r="E35" s="5"/>
    </row>
  </sheetData>
  <mergeCells count="8">
    <mergeCell ref="B5:D5"/>
    <mergeCell ref="H1:J1"/>
    <mergeCell ref="H2:J2"/>
    <mergeCell ref="B1:E1"/>
    <mergeCell ref="B2:E2"/>
    <mergeCell ref="B4:D4"/>
    <mergeCell ref="H4:I4"/>
    <mergeCell ref="H5:I5"/>
  </mergeCells>
  <pageMargins left="0.51181102362204722" right="0.31496062992125984" top="1.1417322834645669" bottom="0.74803149606299213" header="0.31496062992125984" footer="0.31496062992125984"/>
  <pageSetup paperSize="9" orientation="portrait" r:id="rId1"/>
  <headerFooter>
    <oddHeader>&amp;L&amp;"Arial Rounded MT Bold,Regular"&amp;K4D4D4D
&amp;14&amp;K660033Andrew Love Cancer Centre&amp;"-,Regular"&amp;11&amp;K01+000
&amp;"Arial Rounded MT Bold,Regular"&amp;12&amp;K4D4D4DSuperficial RT&amp;"-,Regular"&amp;11&amp;K01+000
&amp;R&amp;G</oddHead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3" r:id="rId5" name="CheckBox1">
          <controlPr defaultSize="0" autoLine="0" r:id="rId6">
            <anchor moveWithCells="1">
              <from>
                <xdr:col>3</xdr:col>
                <xdr:colOff>19050</xdr:colOff>
                <xdr:row>6</xdr:row>
                <xdr:rowOff>28575</xdr:rowOff>
              </from>
              <to>
                <xdr:col>3</xdr:col>
                <xdr:colOff>190500</xdr:colOff>
                <xdr:row>6</xdr:row>
                <xdr:rowOff>200025</xdr:rowOff>
              </to>
            </anchor>
          </controlPr>
        </control>
      </mc:Choice>
      <mc:Fallback>
        <control shapeId="18433" r:id="rId5" name="CheckBox1"/>
      </mc:Fallback>
    </mc:AlternateContent>
    <mc:AlternateContent xmlns:mc="http://schemas.openxmlformats.org/markup-compatibility/2006">
      <mc:Choice Requires="x14">
        <control shapeId="18437" r:id="rId7" name="CheckBox2">
          <controlPr defaultSize="0" autoLine="0" r:id="rId8">
            <anchor moveWithCells="1">
              <from>
                <xdr:col>3</xdr:col>
                <xdr:colOff>19050</xdr:colOff>
                <xdr:row>11</xdr:row>
                <xdr:rowOff>28575</xdr:rowOff>
              </from>
              <to>
                <xdr:col>3</xdr:col>
                <xdr:colOff>190500</xdr:colOff>
                <xdr:row>11</xdr:row>
                <xdr:rowOff>200025</xdr:rowOff>
              </to>
            </anchor>
          </controlPr>
        </control>
      </mc:Choice>
      <mc:Fallback>
        <control shapeId="18437" r:id="rId7" name="CheckBox2"/>
      </mc:Fallback>
    </mc:AlternateContent>
    <mc:AlternateContent xmlns:mc="http://schemas.openxmlformats.org/markup-compatibility/2006">
      <mc:Choice Requires="x14">
        <control shapeId="18438" r:id="rId9" name="CheckBox3">
          <controlPr defaultSize="0" autoLine="0" r:id="rId10">
            <anchor moveWithCells="1">
              <from>
                <xdr:col>3</xdr:col>
                <xdr:colOff>19050</xdr:colOff>
                <xdr:row>14</xdr:row>
                <xdr:rowOff>47625</xdr:rowOff>
              </from>
              <to>
                <xdr:col>3</xdr:col>
                <xdr:colOff>190500</xdr:colOff>
                <xdr:row>14</xdr:row>
                <xdr:rowOff>219075</xdr:rowOff>
              </to>
            </anchor>
          </controlPr>
        </control>
      </mc:Choice>
      <mc:Fallback>
        <control shapeId="18438" r:id="rId9" name="CheckBox3"/>
      </mc:Fallback>
    </mc:AlternateContent>
    <mc:AlternateContent xmlns:mc="http://schemas.openxmlformats.org/markup-compatibility/2006">
      <mc:Choice Requires="x14">
        <control shapeId="18439" r:id="rId11" name="CheckBox4">
          <controlPr defaultSize="0" autoLine="0" r:id="rId12">
            <anchor moveWithCells="1">
              <from>
                <xdr:col>3</xdr:col>
                <xdr:colOff>19050</xdr:colOff>
                <xdr:row>16</xdr:row>
                <xdr:rowOff>38100</xdr:rowOff>
              </from>
              <to>
                <xdr:col>3</xdr:col>
                <xdr:colOff>190500</xdr:colOff>
                <xdr:row>16</xdr:row>
                <xdr:rowOff>209550</xdr:rowOff>
              </to>
            </anchor>
          </controlPr>
        </control>
      </mc:Choice>
      <mc:Fallback>
        <control shapeId="18439" r:id="rId11" name="CheckBox4"/>
      </mc:Fallback>
    </mc:AlternateContent>
    <mc:AlternateContent xmlns:mc="http://schemas.openxmlformats.org/markup-compatibility/2006">
      <mc:Choice Requires="x14">
        <control shapeId="18440" r:id="rId13" name="CheckBox5">
          <controlPr defaultSize="0" autoLine="0" r:id="rId14">
            <anchor moveWithCells="1">
              <from>
                <xdr:col>8</xdr:col>
                <xdr:colOff>219075</xdr:colOff>
                <xdr:row>16</xdr:row>
                <xdr:rowOff>38100</xdr:rowOff>
              </from>
              <to>
                <xdr:col>8</xdr:col>
                <xdr:colOff>390525</xdr:colOff>
                <xdr:row>16</xdr:row>
                <xdr:rowOff>209550</xdr:rowOff>
              </to>
            </anchor>
          </controlPr>
        </control>
      </mc:Choice>
      <mc:Fallback>
        <control shapeId="18440" r:id="rId13" name="CheckBox5"/>
      </mc:Fallback>
    </mc:AlternateContent>
    <mc:AlternateContent xmlns:mc="http://schemas.openxmlformats.org/markup-compatibility/2006">
      <mc:Choice Requires="x14">
        <control shapeId="18441" r:id="rId15" name="CheckBox6">
          <controlPr defaultSize="0" autoLine="0" r:id="rId16">
            <anchor moveWithCells="1">
              <from>
                <xdr:col>3</xdr:col>
                <xdr:colOff>19050</xdr:colOff>
                <xdr:row>25</xdr:row>
                <xdr:rowOff>28575</xdr:rowOff>
              </from>
              <to>
                <xdr:col>3</xdr:col>
                <xdr:colOff>190500</xdr:colOff>
                <xdr:row>25</xdr:row>
                <xdr:rowOff>200025</xdr:rowOff>
              </to>
            </anchor>
          </controlPr>
        </control>
      </mc:Choice>
      <mc:Fallback>
        <control shapeId="18441" r:id="rId15" name="CheckBox6"/>
      </mc:Fallback>
    </mc:AlternateContent>
    <mc:AlternateContent xmlns:mc="http://schemas.openxmlformats.org/markup-compatibility/2006">
      <mc:Choice Requires="x14">
        <control shapeId="18442" r:id="rId17" name="CheckBox7">
          <controlPr defaultSize="0" autoLine="0" r:id="rId18">
            <anchor moveWithCells="1">
              <from>
                <xdr:col>3</xdr:col>
                <xdr:colOff>28575</xdr:colOff>
                <xdr:row>30</xdr:row>
                <xdr:rowOff>28575</xdr:rowOff>
              </from>
              <to>
                <xdr:col>3</xdr:col>
                <xdr:colOff>200025</xdr:colOff>
                <xdr:row>30</xdr:row>
                <xdr:rowOff>200025</xdr:rowOff>
              </to>
            </anchor>
          </controlPr>
        </control>
      </mc:Choice>
      <mc:Fallback>
        <control shapeId="18442" r:id="rId17" name="CheckBox7"/>
      </mc:Fallback>
    </mc:AlternateContent>
    <mc:AlternateContent xmlns:mc="http://schemas.openxmlformats.org/markup-compatibility/2006">
      <mc:Choice Requires="x14">
        <control shapeId="18443" r:id="rId19" name="CommandButton1">
          <controlPr defaultSize="0" print="0" autoLine="0" r:id="rId20">
            <anchor moveWithCells="1">
              <from>
                <xdr:col>5</xdr:col>
                <xdr:colOff>666750</xdr:colOff>
                <xdr:row>6</xdr:row>
                <xdr:rowOff>9525</xdr:rowOff>
              </from>
              <to>
                <xdr:col>9</xdr:col>
                <xdr:colOff>28575</xdr:colOff>
                <xdr:row>9</xdr:row>
                <xdr:rowOff>0</xdr:rowOff>
              </to>
            </anchor>
          </controlPr>
        </control>
      </mc:Choice>
      <mc:Fallback>
        <control shapeId="18443" r:id="rId19" name="CommandButton1"/>
      </mc:Fallback>
    </mc:AlternateContent>
    <mc:AlternateContent xmlns:mc="http://schemas.openxmlformats.org/markup-compatibility/2006">
      <mc:Choice Requires="x14">
        <control shapeId="18444" r:id="rId21" name="CommandButton2">
          <controlPr defaultSize="0" print="0" autoLine="0" r:id="rId22">
            <anchor moveWithCells="1">
              <from>
                <xdr:col>5</xdr:col>
                <xdr:colOff>666750</xdr:colOff>
                <xdr:row>9</xdr:row>
                <xdr:rowOff>38100</xdr:rowOff>
              </from>
              <to>
                <xdr:col>9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18444" r:id="rId21" name="CommandButton2"/>
      </mc:Fallback>
    </mc:AlternateContent>
    <mc:AlternateContent xmlns:mc="http://schemas.openxmlformats.org/markup-compatibility/2006">
      <mc:Choice Requires="x14">
        <control shapeId="18446" r:id="rId23" name="CommandButton3">
          <controlPr defaultSize="0" autoLine="0" r:id="rId24">
            <anchor moveWithCells="1">
              <from>
                <xdr:col>6</xdr:col>
                <xdr:colOff>19050</xdr:colOff>
                <xdr:row>12</xdr:row>
                <xdr:rowOff>142875</xdr:rowOff>
              </from>
              <to>
                <xdr:col>8</xdr:col>
                <xdr:colOff>590550</xdr:colOff>
                <xdr:row>15</xdr:row>
                <xdr:rowOff>76200</xdr:rowOff>
              </to>
            </anchor>
          </controlPr>
        </control>
      </mc:Choice>
      <mc:Fallback>
        <control shapeId="18446" r:id="rId23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21"/>
  <sheetViews>
    <sheetView workbookViewId="0">
      <selection activeCell="C17" sqref="C17"/>
    </sheetView>
  </sheetViews>
  <sheetFormatPr defaultRowHeight="15" x14ac:dyDescent="0.25"/>
  <cols>
    <col min="1" max="1" width="14.5703125" customWidth="1"/>
  </cols>
  <sheetData>
    <row r="1" spans="1:7" ht="18" x14ac:dyDescent="0.25">
      <c r="A1" s="24" t="s">
        <v>120</v>
      </c>
    </row>
    <row r="3" spans="1:7" ht="18.75" hidden="1" x14ac:dyDescent="0.3">
      <c r="A3" s="60" t="s">
        <v>121</v>
      </c>
      <c r="C3" s="7"/>
      <c r="E3" s="7"/>
      <c r="G3" s="7"/>
    </row>
    <row r="4" spans="1:7" hidden="1" x14ac:dyDescent="0.25">
      <c r="C4" s="8"/>
      <c r="G4" s="8"/>
    </row>
    <row r="5" spans="1:7" ht="15.75" hidden="1" x14ac:dyDescent="0.25">
      <c r="A5" s="58"/>
      <c r="B5" s="112" t="s">
        <v>117</v>
      </c>
      <c r="C5" s="62"/>
      <c r="D5" s="6" t="s">
        <v>2</v>
      </c>
    </row>
    <row r="6" spans="1:7" ht="15.75" hidden="1" x14ac:dyDescent="0.25">
      <c r="B6" s="114" t="s">
        <v>118</v>
      </c>
      <c r="C6" s="62"/>
      <c r="D6" s="6" t="s">
        <v>2</v>
      </c>
    </row>
    <row r="7" spans="1:7" hidden="1" x14ac:dyDescent="0.25">
      <c r="E7" s="7"/>
      <c r="G7" s="7"/>
    </row>
    <row r="8" spans="1:7" ht="15.75" hidden="1" x14ac:dyDescent="0.25">
      <c r="B8" s="56" t="s">
        <v>126</v>
      </c>
      <c r="C8" s="59" t="e">
        <f>4*C5*C6/1.8/(C5+C6)</f>
        <v>#DIV/0!</v>
      </c>
      <c r="D8" s="6" t="s">
        <v>2</v>
      </c>
      <c r="E8" s="7"/>
      <c r="G8" s="7"/>
    </row>
    <row r="9" spans="1:7" hidden="1" x14ac:dyDescent="0.25">
      <c r="B9" s="117" t="s">
        <v>125</v>
      </c>
      <c r="C9" s="59">
        <f>diam_Appl_Sel</f>
        <v>0</v>
      </c>
      <c r="D9" s="6" t="s">
        <v>2</v>
      </c>
      <c r="E9" s="7"/>
      <c r="G9" s="7"/>
    </row>
    <row r="10" spans="1:7" hidden="1" x14ac:dyDescent="0.25">
      <c r="E10" s="7"/>
      <c r="G10" s="7"/>
    </row>
    <row r="11" spans="1:7" ht="15.75" hidden="1" x14ac:dyDescent="0.25">
      <c r="B11" s="56" t="s">
        <v>68</v>
      </c>
      <c r="C11" s="57" t="str">
        <f>inter(MIN(diam_Appl_Sel,diameter),HVL_sel,Bw!B7:G15)</f>
        <v>Fuera de Rango</v>
      </c>
      <c r="D11" s="118" t="s">
        <v>127</v>
      </c>
      <c r="G11" s="8"/>
    </row>
    <row r="13" spans="1:7" ht="18.75" x14ac:dyDescent="0.3">
      <c r="A13" s="60" t="s">
        <v>119</v>
      </c>
    </row>
    <row r="15" spans="1:7" ht="15.75" x14ac:dyDescent="0.25">
      <c r="A15" s="61"/>
      <c r="B15" s="113" t="s">
        <v>115</v>
      </c>
      <c r="C15" s="62">
        <v>2</v>
      </c>
      <c r="D15" s="6" t="s">
        <v>2</v>
      </c>
    </row>
    <row r="16" spans="1:7" ht="15.75" x14ac:dyDescent="0.25">
      <c r="A16" s="6"/>
      <c r="B16" s="115" t="s">
        <v>116</v>
      </c>
      <c r="C16" s="62">
        <v>2</v>
      </c>
      <c r="D16" s="6" t="s">
        <v>2</v>
      </c>
    </row>
    <row r="18" spans="1:4" ht="15.75" x14ac:dyDescent="0.25">
      <c r="A18" s="58"/>
      <c r="B18" s="56" t="s">
        <v>126</v>
      </c>
      <c r="C18" s="59">
        <f>SQRT(2)*major_ax*minor_ax/SQRT(major_ax^2+minor_ax^2)</f>
        <v>2</v>
      </c>
      <c r="D18" s="6" t="s">
        <v>2</v>
      </c>
    </row>
    <row r="19" spans="1:4" x14ac:dyDescent="0.25">
      <c r="B19" s="117" t="s">
        <v>125</v>
      </c>
      <c r="C19" s="59">
        <f>diam_Appl_Sel</f>
        <v>0</v>
      </c>
      <c r="D19" s="6" t="s">
        <v>2</v>
      </c>
    </row>
    <row r="21" spans="1:4" ht="15.75" x14ac:dyDescent="0.25">
      <c r="B21" s="56" t="s">
        <v>68</v>
      </c>
      <c r="C21" s="57" t="str">
        <f>inter(MIN(diam_Appl_Sel,equi_diameter),HVL_sel,Bw!B7:G15)</f>
        <v>Fuera de Rango</v>
      </c>
      <c r="D21" s="118" t="s">
        <v>127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Return_1">
          <controlPr defaultSize="0" autoLine="0" r:id="rId4">
            <anchor moveWithCells="1">
              <from>
                <xdr:col>0</xdr:col>
                <xdr:colOff>38100</xdr:colOff>
                <xdr:row>24</xdr:row>
                <xdr:rowOff>47625</xdr:rowOff>
              </from>
              <to>
                <xdr:col>1</xdr:col>
                <xdr:colOff>161925</xdr:colOff>
                <xdr:row>26</xdr:row>
                <xdr:rowOff>133350</xdr:rowOff>
              </to>
            </anchor>
          </controlPr>
        </control>
      </mc:Choice>
      <mc:Fallback>
        <control shapeId="10241" r:id="rId3" name="Return_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4"/>
  <sheetViews>
    <sheetView zoomScaleNormal="100" workbookViewId="0">
      <selection activeCell="P9" sqref="P9"/>
    </sheetView>
  </sheetViews>
  <sheetFormatPr defaultRowHeight="14.25" x14ac:dyDescent="0.2"/>
  <cols>
    <col min="1" max="1" width="5.28515625" style="3" customWidth="1"/>
    <col min="2" max="16384" width="9.140625" style="3"/>
  </cols>
  <sheetData>
    <row r="1" spans="1:7" ht="15.75" x14ac:dyDescent="0.25">
      <c r="A1" s="2" t="s">
        <v>23</v>
      </c>
    </row>
    <row r="2" spans="1:7" ht="15.75" x14ac:dyDescent="0.25">
      <c r="A2" s="2"/>
    </row>
    <row r="3" spans="1:7" ht="15.75" x14ac:dyDescent="0.25">
      <c r="A3" s="2"/>
    </row>
    <row r="5" spans="1:7" ht="21" x14ac:dyDescent="0.35">
      <c r="A5" s="24" t="s">
        <v>34</v>
      </c>
    </row>
    <row r="6" spans="1:7" ht="15" thickBot="1" x14ac:dyDescent="0.25"/>
    <row r="7" spans="1:7" ht="15.75" thickBot="1" x14ac:dyDescent="0.3">
      <c r="C7" s="217" t="s">
        <v>24</v>
      </c>
      <c r="D7" s="218"/>
      <c r="E7" s="218"/>
      <c r="F7" s="218"/>
      <c r="G7" s="219"/>
    </row>
    <row r="8" spans="1:7" ht="15.75" thickBot="1" x14ac:dyDescent="0.3">
      <c r="C8" s="10" t="s">
        <v>16</v>
      </c>
      <c r="D8" s="11" t="s">
        <v>17</v>
      </c>
      <c r="E8" s="11" t="s">
        <v>18</v>
      </c>
      <c r="F8" s="11" t="s">
        <v>19</v>
      </c>
      <c r="G8" s="12" t="s">
        <v>20</v>
      </c>
    </row>
    <row r="9" spans="1:7" ht="15" x14ac:dyDescent="0.25">
      <c r="A9" s="220" t="s">
        <v>31</v>
      </c>
      <c r="B9" s="13" t="s">
        <v>25</v>
      </c>
      <c r="C9" s="14">
        <f>[1]Xstrahl_AbsDosim_FINAL!C45</f>
        <v>6.5325785259885105</v>
      </c>
      <c r="D9" s="14">
        <f>[1]Xstrahl_AbsDosim_FINAL!D45</f>
        <v>3.3198543496062425</v>
      </c>
      <c r="E9" s="14">
        <f>[1]Xstrahl_AbsDosim_FINAL!E45</f>
        <v>3.5405765025635274</v>
      </c>
      <c r="F9" s="14">
        <f>[1]Xstrahl_AbsDosim_FINAL!F45</f>
        <v>4.069409230604494</v>
      </c>
      <c r="G9" s="14">
        <f>[1]Xstrahl_AbsDosim_FINAL!G45</f>
        <v>2.9266451840753058</v>
      </c>
    </row>
    <row r="10" spans="1:7" ht="15" x14ac:dyDescent="0.25">
      <c r="A10" s="221"/>
      <c r="B10" s="15" t="s">
        <v>26</v>
      </c>
      <c r="C10" s="14">
        <f>[1]Xstrahl_AbsDosim_FINAL!C46</f>
        <v>6.5987234076830195</v>
      </c>
      <c r="D10" s="14">
        <f>[1]Xstrahl_AbsDosim_FINAL!D46</f>
        <v>3.4196826040366322</v>
      </c>
      <c r="E10" s="14">
        <f>[1]Xstrahl_AbsDosim_FINAL!E46</f>
        <v>3.6863169899006372</v>
      </c>
      <c r="F10" s="14">
        <f>[1]Xstrahl_AbsDosim_FINAL!F46</f>
        <v>4.2728416952585375</v>
      </c>
      <c r="G10" s="14">
        <f>[1]Xstrahl_AbsDosim_FINAL!G46</f>
        <v>3.076541869983378</v>
      </c>
    </row>
    <row r="11" spans="1:7" ht="15" x14ac:dyDescent="0.25">
      <c r="A11" s="221"/>
      <c r="B11" s="15" t="s">
        <v>27</v>
      </c>
      <c r="C11" s="14">
        <f>[1]Xstrahl_AbsDosim_FINAL!C47</f>
        <v>6.6322247599874089</v>
      </c>
      <c r="D11" s="14">
        <f>[1]Xstrahl_AbsDosim_FINAL!D47</f>
        <v>3.4473137426469247</v>
      </c>
      <c r="E11" s="14">
        <f>[1]Xstrahl_AbsDosim_FINAL!E47</f>
        <v>3.719657625421632</v>
      </c>
      <c r="F11" s="14">
        <f>[1]Xstrahl_AbsDosim_FINAL!F47</f>
        <v>4.2818679773837491</v>
      </c>
      <c r="G11" s="14">
        <f>[1]Xstrahl_AbsDosim_FINAL!G47</f>
        <v>3.067961292076586</v>
      </c>
    </row>
    <row r="12" spans="1:7" ht="15" x14ac:dyDescent="0.25">
      <c r="A12" s="221"/>
      <c r="B12" s="15" t="s">
        <v>28</v>
      </c>
      <c r="C12" s="14">
        <f>[1]Xstrahl_AbsDosim_FINAL!C48</f>
        <v>6.6277513089069933</v>
      </c>
      <c r="D12" s="14">
        <f>[1]Xstrahl_AbsDosim_FINAL!D48</f>
        <v>3.4552869519307556</v>
      </c>
      <c r="E12" s="14">
        <f>[1]Xstrahl_AbsDosim_FINAL!E48</f>
        <v>3.738813136940863</v>
      </c>
      <c r="F12" s="14">
        <f>[1]Xstrahl_AbsDosim_FINAL!F48</f>
        <v>4.2947515544941712</v>
      </c>
      <c r="G12" s="14">
        <f>[1]Xstrahl_AbsDosim_FINAL!G48</f>
        <v>3.080688388618833</v>
      </c>
    </row>
    <row r="13" spans="1:7" ht="15" x14ac:dyDescent="0.25">
      <c r="A13" s="221"/>
      <c r="B13" s="15" t="s">
        <v>30</v>
      </c>
      <c r="C13" s="14">
        <f>[1]Xstrahl_AbsDosim_FINAL!C49</f>
        <v>2.2781901128754578</v>
      </c>
      <c r="D13" s="14">
        <f>[1]Xstrahl_AbsDosim_FINAL!D49</f>
        <v>1.2250515115118765</v>
      </c>
      <c r="E13" s="14">
        <f>[1]Xstrahl_AbsDosim_FINAL!E49</f>
        <v>1.3271251244713549</v>
      </c>
      <c r="F13" s="14">
        <f>[1]Xstrahl_AbsDosim_FINAL!F49</f>
        <v>1.5276633522364715</v>
      </c>
      <c r="G13" s="14">
        <f>[1]Xstrahl_AbsDosim_FINAL!G49</f>
        <v>1.0976334363649396</v>
      </c>
    </row>
    <row r="14" spans="1:7" ht="15.75" thickBot="1" x14ac:dyDescent="0.3">
      <c r="A14" s="222"/>
      <c r="B14" s="16" t="s">
        <v>29</v>
      </c>
      <c r="C14" s="14">
        <f>[1]Xstrahl_AbsDosim_FINAL!C50</f>
        <v>2.2819336672638628</v>
      </c>
      <c r="D14" s="14">
        <f>[1]Xstrahl_AbsDosim_FINAL!D50</f>
        <v>1.2304929907366615</v>
      </c>
      <c r="E14" s="14">
        <f>[1]Xstrahl_AbsDosim_FINAL!E50</f>
        <v>1.3265210897815913</v>
      </c>
      <c r="F14" s="14">
        <f>[1]Xstrahl_AbsDosim_FINAL!F50</f>
        <v>1.5216557579759284</v>
      </c>
      <c r="G14" s="14">
        <f>[1]Xstrahl_AbsDosim_FINAL!G50</f>
        <v>1.0931142493765187</v>
      </c>
    </row>
    <row r="18" spans="1:7" ht="21" x14ac:dyDescent="0.35">
      <c r="A18" s="160" t="s">
        <v>135</v>
      </c>
      <c r="B18" s="17"/>
    </row>
    <row r="19" spans="1:7" ht="15" thickBot="1" x14ac:dyDescent="0.25"/>
    <row r="20" spans="1:7" ht="15.75" thickBot="1" x14ac:dyDescent="0.3">
      <c r="C20" s="217" t="s">
        <v>24</v>
      </c>
      <c r="D20" s="218"/>
      <c r="E20" s="218"/>
      <c r="F20" s="218"/>
      <c r="G20" s="219"/>
    </row>
    <row r="21" spans="1:7" ht="15.75" thickBot="1" x14ac:dyDescent="0.3">
      <c r="C21" s="18" t="s">
        <v>16</v>
      </c>
      <c r="D21" s="19" t="s">
        <v>17</v>
      </c>
      <c r="E21" s="19" t="s">
        <v>18</v>
      </c>
      <c r="F21" s="19" t="s">
        <v>19</v>
      </c>
      <c r="G21" s="20" t="s">
        <v>20</v>
      </c>
    </row>
    <row r="22" spans="1:7" ht="19.5" thickBot="1" x14ac:dyDescent="0.4">
      <c r="A22" s="215" t="s">
        <v>58</v>
      </c>
      <c r="B22" s="215"/>
      <c r="C22" s="21">
        <f>[1]Xstrahl_AbsDosim_FINAL!C$14</f>
        <v>1.5112783163715874E-3</v>
      </c>
      <c r="D22" s="22">
        <f>[1]Xstrahl_AbsDosim_FINAL!D$14</f>
        <v>4.4327580822263799E-4</v>
      </c>
      <c r="E22" s="22">
        <f>[1]Xstrahl_AbsDosim_FINAL!E$14</f>
        <v>1.391633499397801E-4</v>
      </c>
      <c r="F22" s="22">
        <f>[1]Xstrahl_AbsDosim_FINAL!F$14</f>
        <v>-4.6417452962293435E-4</v>
      </c>
      <c r="G22" s="23">
        <f>[1]Xstrahl_AbsDosim_FINAL!G$14</f>
        <v>-5.1306074193043665E-4</v>
      </c>
    </row>
    <row r="26" spans="1:7" ht="18" x14ac:dyDescent="0.25">
      <c r="A26" s="160" t="s">
        <v>32</v>
      </c>
      <c r="B26" s="17"/>
    </row>
    <row r="27" spans="1:7" ht="15" thickBot="1" x14ac:dyDescent="0.25"/>
    <row r="28" spans="1:7" ht="15.75" thickBot="1" x14ac:dyDescent="0.3">
      <c r="C28" s="217" t="s">
        <v>24</v>
      </c>
      <c r="D28" s="218"/>
      <c r="E28" s="218"/>
      <c r="F28" s="218"/>
      <c r="G28" s="219"/>
    </row>
    <row r="29" spans="1:7" ht="15.75" thickBot="1" x14ac:dyDescent="0.3">
      <c r="C29" s="18" t="s">
        <v>16</v>
      </c>
      <c r="D29" s="19" t="s">
        <v>17</v>
      </c>
      <c r="E29" s="19" t="s">
        <v>18</v>
      </c>
      <c r="F29" s="19" t="s">
        <v>19</v>
      </c>
      <c r="G29" s="20" t="s">
        <v>20</v>
      </c>
    </row>
    <row r="30" spans="1:7" ht="18.75" x14ac:dyDescent="0.35">
      <c r="A30" s="215" t="s">
        <v>33</v>
      </c>
      <c r="B30" s="215"/>
      <c r="C30" s="121">
        <f>'[2]HVL-final results'!B$8</f>
        <v>0.19153463596821266</v>
      </c>
      <c r="D30" s="122">
        <f>'[2]HVL-final results'!C$8</f>
        <v>0.81143768071028854</v>
      </c>
      <c r="E30" s="122">
        <f>'[2]HVL-final results'!D$8</f>
        <v>2.0119459896403291</v>
      </c>
      <c r="F30" s="122">
        <f>'[2]HVL-final results'!E$8</f>
        <v>2.6055254817837485</v>
      </c>
      <c r="G30" s="123">
        <f>'[2]HVL-final results'!F$8</f>
        <v>4.0227103723161859</v>
      </c>
    </row>
    <row r="31" spans="1:7" ht="15" thickBot="1" x14ac:dyDescent="0.25">
      <c r="A31" s="216" t="s">
        <v>64</v>
      </c>
      <c r="B31" s="216"/>
      <c r="C31" s="38">
        <v>30</v>
      </c>
      <c r="D31" s="39">
        <v>50</v>
      </c>
      <c r="E31" s="39">
        <v>80</v>
      </c>
      <c r="F31" s="39">
        <v>95</v>
      </c>
      <c r="G31" s="40">
        <v>100</v>
      </c>
    </row>
    <row r="35" spans="1:7" ht="21" x14ac:dyDescent="0.35">
      <c r="A35" s="160" t="s">
        <v>136</v>
      </c>
      <c r="B35" s="17"/>
    </row>
    <row r="36" spans="1:7" ht="15" thickBot="1" x14ac:dyDescent="0.25"/>
    <row r="37" spans="1:7" ht="15.75" thickBot="1" x14ac:dyDescent="0.3">
      <c r="C37" s="217" t="s">
        <v>24</v>
      </c>
      <c r="D37" s="218"/>
      <c r="E37" s="218"/>
      <c r="F37" s="218"/>
      <c r="G37" s="219"/>
    </row>
    <row r="38" spans="1:7" ht="15.75" thickBot="1" x14ac:dyDescent="0.3">
      <c r="C38" s="10" t="s">
        <v>16</v>
      </c>
      <c r="D38" s="11" t="s">
        <v>17</v>
      </c>
      <c r="E38" s="11" t="s">
        <v>18</v>
      </c>
      <c r="F38" s="11" t="s">
        <v>19</v>
      </c>
      <c r="G38" s="12" t="s">
        <v>20</v>
      </c>
    </row>
    <row r="39" spans="1:7" ht="15" x14ac:dyDescent="0.25">
      <c r="A39" s="220" t="s">
        <v>31</v>
      </c>
      <c r="B39" s="13" t="s">
        <v>25</v>
      </c>
      <c r="C39" s="124">
        <f>[1]Sheet1!C4</f>
        <v>14</v>
      </c>
      <c r="D39" s="125">
        <f>[1]Sheet1!D4</f>
        <v>14</v>
      </c>
      <c r="E39" s="125">
        <f>[1]Sheet1!E4</f>
        <v>14</v>
      </c>
      <c r="F39" s="125">
        <f>[1]Sheet1!F4</f>
        <v>14</v>
      </c>
      <c r="G39" s="126">
        <f>[1]Sheet1!G4</f>
        <v>14</v>
      </c>
    </row>
    <row r="40" spans="1:7" ht="15" x14ac:dyDescent="0.25">
      <c r="A40" s="221"/>
      <c r="B40" s="15" t="s">
        <v>26</v>
      </c>
      <c r="C40" s="127">
        <f>[1]Sheet1!C5</f>
        <v>14.253587167264458</v>
      </c>
      <c r="D40" s="120">
        <f>[1]Sheet1!D5</f>
        <v>14.309634446696885</v>
      </c>
      <c r="E40" s="120">
        <f>[1]Sheet1!E5</f>
        <v>14.194462368503165</v>
      </c>
      <c r="F40" s="120">
        <f>[1]Sheet1!F5</f>
        <v>14.159640080769908</v>
      </c>
      <c r="G40" s="128">
        <f>[1]Sheet1!G5</f>
        <v>14.061106160666185</v>
      </c>
    </row>
    <row r="41" spans="1:7" ht="15" x14ac:dyDescent="0.25">
      <c r="A41" s="221"/>
      <c r="B41" s="15" t="s">
        <v>27</v>
      </c>
      <c r="C41" s="127">
        <f>[1]Sheet1!C6</f>
        <v>14.722499496788256</v>
      </c>
      <c r="D41" s="120">
        <f>[1]Sheet1!D6</f>
        <v>14.722499496788256</v>
      </c>
      <c r="E41" s="120">
        <f>[1]Sheet1!E6</f>
        <v>14.722499496788256</v>
      </c>
      <c r="F41" s="120">
        <f>[1]Sheet1!F6</f>
        <v>14.62707870795985</v>
      </c>
      <c r="G41" s="128">
        <f>[1]Sheet1!G6</f>
        <v>14.62707870795985</v>
      </c>
    </row>
    <row r="42" spans="1:7" ht="15" x14ac:dyDescent="0.25">
      <c r="A42" s="221"/>
      <c r="B42" s="15" t="s">
        <v>28</v>
      </c>
      <c r="C42" s="127">
        <f>[1]Sheet1!C7</f>
        <v>14.932052199081875</v>
      </c>
      <c r="D42" s="120">
        <f>[1]Sheet1!D7</f>
        <v>14.943819651041721</v>
      </c>
      <c r="E42" s="120">
        <f>[1]Sheet1!E7</f>
        <v>14.943819651041721</v>
      </c>
      <c r="F42" s="120">
        <f>[1]Sheet1!F7</f>
        <v>14.463298881617698</v>
      </c>
      <c r="G42" s="128">
        <f>[1]Sheet1!G7</f>
        <v>14.463298881617698</v>
      </c>
    </row>
    <row r="43" spans="1:7" ht="15" x14ac:dyDescent="0.25">
      <c r="A43" s="221"/>
      <c r="B43" s="15" t="s">
        <v>30</v>
      </c>
      <c r="C43" s="127">
        <f>[1]Sheet1!C8</f>
        <v>23.45926536638261</v>
      </c>
      <c r="D43" s="120">
        <f>[1]Sheet1!D8</f>
        <v>23.45926536638261</v>
      </c>
      <c r="E43" s="120">
        <f>[1]Sheet1!E8</f>
        <v>23.45926536638261</v>
      </c>
      <c r="F43" s="120">
        <f>[1]Sheet1!F8</f>
        <v>23.829089878121238</v>
      </c>
      <c r="G43" s="128">
        <f>[1]Sheet1!G8</f>
        <v>23.829089878121238</v>
      </c>
    </row>
    <row r="44" spans="1:7" ht="15.75" thickBot="1" x14ac:dyDescent="0.3">
      <c r="A44" s="222"/>
      <c r="B44" s="16" t="s">
        <v>29</v>
      </c>
      <c r="C44" s="129">
        <f>[1]Sheet1!C9</f>
        <v>23.45926536638261</v>
      </c>
      <c r="D44" s="130">
        <f>[1]Sheet1!D9</f>
        <v>23.45926536638261</v>
      </c>
      <c r="E44" s="130">
        <f>[1]Sheet1!E9</f>
        <v>23.45926536638261</v>
      </c>
      <c r="F44" s="130">
        <f>[1]Sheet1!F9</f>
        <v>23.829089878121238</v>
      </c>
      <c r="G44" s="131">
        <f>[1]Sheet1!G9</f>
        <v>23.829089878121238</v>
      </c>
    </row>
  </sheetData>
  <sheetProtection sheet="1" objects="1" scenarios="1"/>
  <mergeCells count="9">
    <mergeCell ref="A30:B30"/>
    <mergeCell ref="A31:B31"/>
    <mergeCell ref="C37:G37"/>
    <mergeCell ref="A39:A44"/>
    <mergeCell ref="C7:G7"/>
    <mergeCell ref="A9:A14"/>
    <mergeCell ref="C20:G20"/>
    <mergeCell ref="A22:B22"/>
    <mergeCell ref="C28:G28"/>
  </mergeCells>
  <pageMargins left="0.51181102362204722" right="0.31496062992125984" top="1.1417322834645669" bottom="0.74803149606299213" header="0.31496062992125984" footer="0.31496062992125984"/>
  <pageSetup paperSize="9" orientation="portrait" r:id="rId1"/>
  <headerFooter>
    <oddHeader>&amp;L&amp;"Arial Rounded MT Bold,Regular"&amp;K4D4D4D
&amp;14&amp;K660033Andrew Love Cancer Centre&amp;"-,Regular"&amp;11&amp;K01+000
&amp;"Arial Rounded MT Bold,Regular"&amp;12&amp;K4D4D4DSuperficial RT&amp;"-,Regular"&amp;11&amp;K01+000
&amp;R&amp;G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2"/>
  <sheetViews>
    <sheetView zoomScaleNormal="100" workbookViewId="0">
      <selection activeCell="M21" sqref="M21"/>
    </sheetView>
  </sheetViews>
  <sheetFormatPr defaultRowHeight="14.25" x14ac:dyDescent="0.2"/>
  <cols>
    <col min="1" max="1" width="10.28515625" style="3" customWidth="1"/>
    <col min="2" max="2" width="7.5703125" style="3" customWidth="1"/>
    <col min="3" max="6" width="9.140625" style="3"/>
    <col min="7" max="7" width="9.42578125" style="3" bestFit="1" customWidth="1"/>
    <col min="8" max="16384" width="9.140625" style="3"/>
  </cols>
  <sheetData>
    <row r="1" spans="1:7" ht="18" x14ac:dyDescent="0.25">
      <c r="A1" s="24" t="s">
        <v>8</v>
      </c>
    </row>
    <row r="5" spans="1:7" ht="18" x14ac:dyDescent="0.25">
      <c r="A5" s="24" t="s">
        <v>74</v>
      </c>
      <c r="B5" s="28"/>
      <c r="C5" s="4"/>
    </row>
    <row r="6" spans="1:7" ht="15" x14ac:dyDescent="0.25">
      <c r="C6" s="223" t="s">
        <v>10</v>
      </c>
      <c r="D6" s="224"/>
      <c r="E6" s="224"/>
      <c r="F6" s="224"/>
      <c r="G6" s="225"/>
    </row>
    <row r="7" spans="1:7" ht="15" x14ac:dyDescent="0.2">
      <c r="B7" s="5"/>
      <c r="C7" s="132">
        <v>0.191</v>
      </c>
      <c r="D7" s="133">
        <v>0.8115</v>
      </c>
      <c r="E7" s="133">
        <v>2.012</v>
      </c>
      <c r="F7" s="133">
        <v>2.6059999999999999</v>
      </c>
      <c r="G7" s="134">
        <v>4.0229999999999997</v>
      </c>
    </row>
    <row r="8" spans="1:7" ht="15" customHeight="1" x14ac:dyDescent="0.2">
      <c r="A8" s="226" t="s">
        <v>11</v>
      </c>
      <c r="B8" s="135">
        <v>0</v>
      </c>
      <c r="C8" s="136">
        <v>1</v>
      </c>
      <c r="D8" s="136">
        <v>1</v>
      </c>
      <c r="E8" s="136">
        <v>1</v>
      </c>
      <c r="F8" s="136">
        <v>1</v>
      </c>
      <c r="G8" s="136">
        <v>1</v>
      </c>
    </row>
    <row r="9" spans="1:7" ht="15" customHeight="1" x14ac:dyDescent="0.2">
      <c r="A9" s="226"/>
      <c r="B9" s="137">
        <f>[3]Bw_Clin!$B8</f>
        <v>1</v>
      </c>
      <c r="C9" s="138">
        <f>[3]Bw_Clin!C8</f>
        <v>1.021322770877457</v>
      </c>
      <c r="D9" s="139">
        <f>[3]Bw_Clin!D8</f>
        <v>1.0431715652106544</v>
      </c>
      <c r="E9" s="139">
        <f>[3]Bw_Clin!E8</f>
        <v>1.0560657029430218</v>
      </c>
      <c r="F9" s="139">
        <f>[3]Bw_Clin!F8</f>
        <v>1.0593303901498108</v>
      </c>
      <c r="G9" s="140">
        <f>[3]Bw_Clin!G8</f>
        <v>1.0589659344415256</v>
      </c>
    </row>
    <row r="10" spans="1:7" ht="15" x14ac:dyDescent="0.2">
      <c r="A10" s="226"/>
      <c r="B10" s="137">
        <f>[3]Bw_Clin!$B9</f>
        <v>2</v>
      </c>
      <c r="C10" s="141">
        <f>[3]Bw_Clin!C9</f>
        <v>1.0295688099565035</v>
      </c>
      <c r="D10" s="142">
        <f>[3]Bw_Clin!D9</f>
        <v>1.0754575072284116</v>
      </c>
      <c r="E10" s="142">
        <f>[3]Bw_Clin!E9</f>
        <v>1.106143351875684</v>
      </c>
      <c r="F10" s="142">
        <f>[3]Bw_Clin!F9</f>
        <v>1.113266305781405</v>
      </c>
      <c r="G10" s="143">
        <f>[3]Bw_Clin!G9</f>
        <v>1.1180000000000001</v>
      </c>
    </row>
    <row r="11" spans="1:7" ht="15" x14ac:dyDescent="0.2">
      <c r="A11" s="226"/>
      <c r="B11" s="137">
        <f>[3]Bw_Clin!$B10</f>
        <v>3</v>
      </c>
      <c r="C11" s="141">
        <f>[3]Bw_Clin!C10</f>
        <v>1.0328148490355495</v>
      </c>
      <c r="D11" s="142">
        <f>[3]Bw_Clin!D10</f>
        <v>1.0926862608426173</v>
      </c>
      <c r="E11" s="142">
        <f>[3]Bw_Clin!E10</f>
        <v>1.1367628117720872</v>
      </c>
      <c r="F11" s="142">
        <f>[3]Bw_Clin!F10</f>
        <v>1.1498215605992423</v>
      </c>
      <c r="G11" s="143">
        <f>[3]Bw_Clin!G10</f>
        <v>1.1615340655584743</v>
      </c>
    </row>
    <row r="12" spans="1:7" ht="15" x14ac:dyDescent="0.2">
      <c r="A12" s="226"/>
      <c r="B12" s="137">
        <f>[3]Bw_Clin!$B11</f>
        <v>5</v>
      </c>
      <c r="C12" s="141">
        <f>[3]Bw_Clin!C11</f>
        <v>1.035145541754914</v>
      </c>
      <c r="D12" s="142">
        <f>[3]Bw_Clin!D11</f>
        <v>1.1120007970621504</v>
      </c>
      <c r="E12" s="142">
        <f>[3]Bw_Clin!E11</f>
        <v>1.1803942176581308</v>
      </c>
      <c r="F12" s="142">
        <f>[3]Bw_Clin!F11</f>
        <v>1.1999823408988637</v>
      </c>
      <c r="G12" s="143">
        <f>[3]Bw_Clin!G11</f>
        <v>1.223136262233897</v>
      </c>
    </row>
    <row r="13" spans="1:7" ht="15" x14ac:dyDescent="0.2">
      <c r="A13" s="226"/>
      <c r="B13" s="137">
        <f>[3]Bw_Clin!$B12</f>
        <v>10</v>
      </c>
      <c r="C13" s="141">
        <f>[3]Bw_Clin!C12</f>
        <v>1.0363915808339603</v>
      </c>
      <c r="D13" s="142">
        <f>[3]Bw_Clin!D12</f>
        <v>1.128343927483459</v>
      </c>
      <c r="E13" s="142">
        <f>[3]Bw_Clin!E12</f>
        <v>1.226157029430218</v>
      </c>
      <c r="F13" s="142">
        <f>[3]Bw_Clin!F12</f>
        <v>1.2588039014981063</v>
      </c>
      <c r="G13" s="143">
        <f>[3]Bw_Clin!G12</f>
        <v>1.3068293003985847</v>
      </c>
    </row>
    <row r="14" spans="1:7" ht="15" x14ac:dyDescent="0.2">
      <c r="A14" s="226"/>
      <c r="B14" s="137">
        <f>[3]Bw_Clin!$B13</f>
        <v>15</v>
      </c>
      <c r="C14" s="141">
        <f>[3]Bw_Clin!C13</f>
        <v>1.0364762344742782</v>
      </c>
      <c r="D14" s="142">
        <f>[3]Bw_Clin!D13</f>
        <v>1.1319868984923374</v>
      </c>
      <c r="E14" s="142">
        <f>[3]Bw_Clin!E13</f>
        <v>1.2397824623214415</v>
      </c>
      <c r="F14" s="142">
        <f>[3]Bw_Clin!F13</f>
        <v>1.2786619190568356</v>
      </c>
      <c r="G14" s="143">
        <f>[3]Bw_Clin!G13</f>
        <v>1.3389428522601656</v>
      </c>
    </row>
    <row r="15" spans="1:7" ht="15" x14ac:dyDescent="0.2">
      <c r="A15" s="226"/>
      <c r="B15" s="144">
        <f>[3]Bw_Clin!$B14</f>
        <v>20</v>
      </c>
      <c r="C15" s="145">
        <f>[3]Bw_Clin!C14</f>
        <v>1.0368915808339603</v>
      </c>
      <c r="D15" s="146">
        <f>[3]Bw_Clin!D14</f>
        <v>1.1340154926941133</v>
      </c>
      <c r="E15" s="146">
        <f>[3]Bw_Clin!E14</f>
        <v>1.2438421922696432</v>
      </c>
      <c r="F15" s="146">
        <f>[3]Bw_Clin!F14</f>
        <v>1.2856895464657543</v>
      </c>
      <c r="G15" s="147">
        <f>[3]Bw_Clin!G14</f>
        <v>1.3510336937494305</v>
      </c>
    </row>
    <row r="18" spans="1:7" ht="18" x14ac:dyDescent="0.25">
      <c r="A18" s="24" t="s">
        <v>76</v>
      </c>
      <c r="C18" s="28"/>
      <c r="D18" s="4"/>
    </row>
    <row r="19" spans="1:7" ht="15" x14ac:dyDescent="0.25">
      <c r="C19" s="223" t="s">
        <v>10</v>
      </c>
      <c r="D19" s="224"/>
      <c r="E19" s="224"/>
      <c r="F19" s="224"/>
      <c r="G19" s="225"/>
    </row>
    <row r="20" spans="1:7" ht="15" x14ac:dyDescent="0.2">
      <c r="B20" s="5"/>
      <c r="C20" s="132">
        <v>0.192</v>
      </c>
      <c r="D20" s="133">
        <v>0.8115</v>
      </c>
      <c r="E20" s="133">
        <v>2.012</v>
      </c>
      <c r="F20" s="133">
        <v>2.6059999999999999</v>
      </c>
      <c r="G20" s="134">
        <v>4.0209999999999999</v>
      </c>
    </row>
    <row r="21" spans="1:7" ht="15" x14ac:dyDescent="0.2">
      <c r="A21" s="226" t="s">
        <v>11</v>
      </c>
      <c r="B21" s="135">
        <v>0</v>
      </c>
      <c r="C21" s="148">
        <v>1</v>
      </c>
      <c r="D21" s="148">
        <v>1</v>
      </c>
      <c r="E21" s="148">
        <v>1</v>
      </c>
      <c r="F21" s="148">
        <v>1</v>
      </c>
      <c r="G21" s="148">
        <v>1</v>
      </c>
    </row>
    <row r="22" spans="1:7" ht="15" x14ac:dyDescent="0.2">
      <c r="A22" s="226"/>
      <c r="B22" s="149">
        <f>[3]Bw_Clin!$B20</f>
        <v>1</v>
      </c>
      <c r="C22" s="138">
        <f>[3]Bw_Clin!C20</f>
        <v>1.0214074245177749</v>
      </c>
      <c r="D22" s="139">
        <f>[3]Bw_Clin!D20</f>
        <v>1.0432001594124301</v>
      </c>
      <c r="E22" s="139">
        <f>[3]Bw_Clin!E20</f>
        <v>1.0575537569533815</v>
      </c>
      <c r="F22" s="139">
        <f>[3]Bw_Clin!F20</f>
        <v>1.0602248646680268</v>
      </c>
      <c r="G22" s="140">
        <f>[3]Bw_Clin!G20</f>
        <v>1.0599659344415258</v>
      </c>
    </row>
    <row r="23" spans="1:7" ht="15" x14ac:dyDescent="0.2">
      <c r="A23" s="226"/>
      <c r="B23" s="149">
        <f>[3]Bw_Clin!$B21</f>
        <v>2</v>
      </c>
      <c r="C23" s="141">
        <f>[3]Bw_Clin!C21</f>
        <v>1.0299841563161853</v>
      </c>
      <c r="D23" s="142">
        <f>[3]Bw_Clin!D21</f>
        <v>1.0750146956319631</v>
      </c>
      <c r="E23" s="142">
        <f>[3]Bw_Clin!E21</f>
        <v>1.1076254328912234</v>
      </c>
      <c r="F23" s="142">
        <f>[3]Bw_Clin!F21</f>
        <v>1.1138580175587296</v>
      </c>
      <c r="G23" s="143">
        <f>[3]Bw_Clin!G21</f>
        <v>1.1200000000000001</v>
      </c>
    </row>
    <row r="24" spans="1:7" ht="15" x14ac:dyDescent="0.2">
      <c r="A24" s="226"/>
      <c r="B24" s="149">
        <f>[3]Bw_Clin!$B22</f>
        <v>3</v>
      </c>
      <c r="C24" s="141">
        <f>[3]Bw_Clin!C22</f>
        <v>1.0333148490355497</v>
      </c>
      <c r="D24" s="142">
        <f>[3]Bw_Clin!D22</f>
        <v>1.0932720434479446</v>
      </c>
      <c r="E24" s="142">
        <f>[3]Bw_Clin!E22</f>
        <v>1.1392628117720871</v>
      </c>
      <c r="F24" s="142">
        <f>[3]Bw_Clin!F22</f>
        <v>1.1523215605992423</v>
      </c>
      <c r="G24" s="143">
        <f>[3]Bw_Clin!G22</f>
        <v>1.1645454207446324</v>
      </c>
    </row>
    <row r="25" spans="1:7" ht="15" x14ac:dyDescent="0.2">
      <c r="A25" s="226"/>
      <c r="B25" s="149">
        <f>[3]Bw_Clin!$B23</f>
        <v>5</v>
      </c>
      <c r="C25" s="141">
        <f>[3]Bw_Clin!C23</f>
        <v>1.035645541754914</v>
      </c>
      <c r="D25" s="142">
        <f>[3]Bw_Clin!D23</f>
        <v>1.1125865796674774</v>
      </c>
      <c r="E25" s="142">
        <f>[3]Bw_Clin!E23</f>
        <v>1.1829240826322316</v>
      </c>
      <c r="F25" s="142">
        <f>[3]Bw_Clin!F23</f>
        <v>1.2039961546033231</v>
      </c>
      <c r="G25" s="143">
        <f>[3]Bw_Clin!G23</f>
        <v>1.2316476174200552</v>
      </c>
    </row>
    <row r="26" spans="1:7" ht="15" x14ac:dyDescent="0.2">
      <c r="A26" s="226"/>
      <c r="B26" s="149">
        <f>[3]Bw_Clin!$B24</f>
        <v>10</v>
      </c>
      <c r="C26" s="141">
        <f>[3]Bw_Clin!C24</f>
        <v>1.0373069271936424</v>
      </c>
      <c r="D26" s="142">
        <f>[3]Bw_Clin!D24</f>
        <v>1.1310154926941132</v>
      </c>
      <c r="E26" s="142">
        <f>[3]Bw_Clin!E24</f>
        <v>1.237192867399139</v>
      </c>
      <c r="F26" s="142">
        <f>[3]Bw_Clin!F24</f>
        <v>1.2716204779434575</v>
      </c>
      <c r="G26" s="143">
        <f>[3]Bw_Clin!G24</f>
        <v>1.3253860763293752</v>
      </c>
    </row>
    <row r="27" spans="1:7" ht="15" x14ac:dyDescent="0.2">
      <c r="A27" s="226"/>
      <c r="B27" s="149">
        <f>[3]Bw_Clin!$B25</f>
        <v>15</v>
      </c>
      <c r="C27" s="141">
        <f>[3]Bw_Clin!C25</f>
        <v>1.0374762344742783</v>
      </c>
      <c r="D27" s="142">
        <f>[3]Bw_Clin!D25</f>
        <v>1.1361584637029918</v>
      </c>
      <c r="E27" s="142">
        <f>[3]Bw_Clin!E25</f>
        <v>1.2553601112541037</v>
      </c>
      <c r="F27" s="142">
        <f>[3]Bw_Clin!F25</f>
        <v>1.2980978346884298</v>
      </c>
      <c r="G27" s="143">
        <f>[3]Bw_Clin!G25</f>
        <v>1.3690223385632723</v>
      </c>
    </row>
    <row r="28" spans="1:7" ht="15" x14ac:dyDescent="0.2">
      <c r="A28" s="226"/>
      <c r="B28" s="150">
        <f>[3]Bw_Clin!$B26</f>
        <v>20</v>
      </c>
      <c r="C28" s="145">
        <f>[3]Bw_Clin!C26</f>
        <v>1.0374762344742783</v>
      </c>
      <c r="D28" s="146">
        <f>[3]Bw_Clin!D26</f>
        <v>1.1387156521065434</v>
      </c>
      <c r="E28" s="146">
        <f>[3]Bw_Clin!E26</f>
        <v>1.2624616521660466</v>
      </c>
      <c r="F28" s="146">
        <f>[3]Bw_Clin!F26</f>
        <v>1.3102448012835919</v>
      </c>
      <c r="G28" s="147">
        <f>[3]Bw_Clin!G26</f>
        <v>1.3891018248663789</v>
      </c>
    </row>
    <row r="32" spans="1:7" ht="21" x14ac:dyDescent="0.35">
      <c r="A32" s="106" t="s">
        <v>108</v>
      </c>
    </row>
    <row r="33" spans="1:5" ht="16.5" x14ac:dyDescent="0.3">
      <c r="B33" s="151"/>
      <c r="C33" s="152" t="s">
        <v>134</v>
      </c>
    </row>
    <row r="34" spans="1:5" ht="15" x14ac:dyDescent="0.2">
      <c r="B34" s="151"/>
      <c r="C34" s="153">
        <v>1</v>
      </c>
    </row>
    <row r="35" spans="1:5" ht="14.25" customHeight="1" x14ac:dyDescent="0.2">
      <c r="A35" s="227" t="s">
        <v>109</v>
      </c>
      <c r="B35" s="154">
        <v>0.19</v>
      </c>
      <c r="C35" s="155">
        <f>C36-0.09*0.11</f>
        <v>4.1901000000000002</v>
      </c>
      <c r="D35" s="156" t="s">
        <v>128</v>
      </c>
      <c r="E35" s="156"/>
    </row>
    <row r="36" spans="1:5" ht="15" x14ac:dyDescent="0.2">
      <c r="A36" s="227"/>
      <c r="B36" s="137">
        <v>0.3</v>
      </c>
      <c r="C36" s="157">
        <f>inter(B36,5,[3]Dosim_Data_TG61!$L$55:$Q$67)</f>
        <v>4.2</v>
      </c>
    </row>
    <row r="37" spans="1:5" ht="15" x14ac:dyDescent="0.2">
      <c r="A37" s="227"/>
      <c r="B37" s="137">
        <v>0.4</v>
      </c>
      <c r="C37" s="158">
        <f>inter(B37,5,[3]Dosim_Data_TG61!$L$55:$Q$67)</f>
        <v>4.2889999999999997</v>
      </c>
    </row>
    <row r="38" spans="1:5" ht="15" x14ac:dyDescent="0.2">
      <c r="A38" s="227"/>
      <c r="B38" s="137">
        <v>1</v>
      </c>
      <c r="C38" s="158">
        <f>inter(B38,5,[3]Dosim_Data_TG61!$L$55:$Q$67)</f>
        <v>4.4939999999999998</v>
      </c>
    </row>
    <row r="39" spans="1:5" ht="15" x14ac:dyDescent="0.2">
      <c r="A39" s="227"/>
      <c r="B39" s="137">
        <v>2</v>
      </c>
      <c r="C39" s="158">
        <f>inter(B39,5,[3]Dosim_Data_TG61!$L$55:$Q$67)</f>
        <v>4.3499999999999996</v>
      </c>
    </row>
    <row r="40" spans="1:5" ht="15" x14ac:dyDescent="0.2">
      <c r="A40" s="227"/>
      <c r="B40" s="137">
        <v>3</v>
      </c>
      <c r="C40" s="158">
        <f>inter(B40,5,[3]Dosim_Data_TG61!$L$55:$Q$67)</f>
        <v>4.1790000000000003</v>
      </c>
    </row>
    <row r="41" spans="1:5" ht="15" x14ac:dyDescent="0.2">
      <c r="A41" s="227"/>
      <c r="B41" s="137">
        <v>4</v>
      </c>
      <c r="C41" s="158">
        <f>inter(B41,5,[3]Dosim_Data_TG61!$L$55:$Q$67)</f>
        <v>3.9750000000000005</v>
      </c>
    </row>
    <row r="42" spans="1:5" ht="15" x14ac:dyDescent="0.2">
      <c r="A42" s="227"/>
      <c r="B42" s="144">
        <v>5</v>
      </c>
      <c r="C42" s="159">
        <f>inter(B42,5,[3]Dosim_Data_TG61!$L$55:$Q$67)</f>
        <v>3.7690000000000001</v>
      </c>
    </row>
  </sheetData>
  <sheetProtection sheet="1" objects="1" scenarios="1"/>
  <mergeCells count="5">
    <mergeCell ref="C6:G6"/>
    <mergeCell ref="A8:A15"/>
    <mergeCell ref="C19:G19"/>
    <mergeCell ref="A21:A28"/>
    <mergeCell ref="A35:A42"/>
  </mergeCells>
  <pageMargins left="0.51181102362204722" right="0.31496062992125984" top="1.1417322834645669" bottom="0.74803149606299213" header="0.31496062992125984" footer="0.31496062992125984"/>
  <pageSetup paperSize="9" orientation="portrait" r:id="rId1"/>
  <headerFooter>
    <oddHeader>&amp;L&amp;"Arial Rounded MT Bold,Regular"&amp;K4D4D4D
&amp;14&amp;K660033Andrew Love Cancer Centre&amp;"-,Regular"&amp;11&amp;K01+000
&amp;"Arial Rounded MT Bold,Regular"&amp;12&amp;K4D4D4DSuperficial RT&amp;"-,Regular"&amp;11&amp;K01+000
&amp;R&amp;G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12"/>
  <sheetViews>
    <sheetView zoomScale="115" zoomScaleNormal="115" workbookViewId="0">
      <selection activeCell="N10" sqref="N10"/>
    </sheetView>
  </sheetViews>
  <sheetFormatPr defaultRowHeight="15" x14ac:dyDescent="0.25"/>
  <cols>
    <col min="1" max="1" width="10.7109375" style="161" customWidth="1"/>
    <col min="2" max="2" width="6.5703125" style="161" customWidth="1"/>
    <col min="3" max="16384" width="9.140625" style="161"/>
  </cols>
  <sheetData>
    <row r="1" spans="1:12" ht="18" x14ac:dyDescent="0.25">
      <c r="A1" s="24" t="s">
        <v>71</v>
      </c>
    </row>
    <row r="3" spans="1:12" ht="18.75" x14ac:dyDescent="0.3">
      <c r="A3" s="230" t="s">
        <v>129</v>
      </c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232"/>
    </row>
    <row r="4" spans="1:12" ht="18" x14ac:dyDescent="0.25">
      <c r="A4" s="177" t="s">
        <v>9</v>
      </c>
      <c r="B4" s="182">
        <v>15</v>
      </c>
      <c r="C4" s="179" t="s">
        <v>2</v>
      </c>
      <c r="D4" s="3"/>
      <c r="E4" s="3"/>
      <c r="F4" s="3"/>
    </row>
    <row r="5" spans="1:12" x14ac:dyDescent="0.25">
      <c r="A5" s="3"/>
      <c r="B5" s="3"/>
      <c r="C5" s="228" t="s">
        <v>70</v>
      </c>
      <c r="D5" s="228"/>
      <c r="E5" s="228"/>
      <c r="F5" s="228"/>
      <c r="G5" s="228"/>
      <c r="H5" s="228"/>
      <c r="I5" s="228"/>
      <c r="J5" s="228"/>
    </row>
    <row r="6" spans="1:12" x14ac:dyDescent="0.25">
      <c r="A6" s="3"/>
      <c r="B6" s="5"/>
      <c r="C6" s="162">
        <v>9.9999999999999995E-7</v>
      </c>
      <c r="D6" s="163">
        <f>'[3]Clin-PDD'!C$5</f>
        <v>1.6</v>
      </c>
      <c r="E6" s="163">
        <f>'[3]Clin-PDD'!D$5</f>
        <v>2</v>
      </c>
      <c r="F6" s="163">
        <f>'[3]Clin-PDD'!E$5</f>
        <v>4</v>
      </c>
      <c r="G6" s="163">
        <f>'[3]Clin-PDD'!F$5</f>
        <v>6</v>
      </c>
      <c r="H6" s="163">
        <f>'[3]Clin-PDD'!G$5</f>
        <v>8</v>
      </c>
      <c r="I6" s="163">
        <f>'[3]Clin-PDD'!H$5</f>
        <v>0</v>
      </c>
      <c r="J6" s="164">
        <f>'[3]Clin-PDD'!I$5</f>
        <v>0</v>
      </c>
      <c r="K6" s="5"/>
    </row>
    <row r="7" spans="1:12" x14ac:dyDescent="0.25">
      <c r="A7" s="229" t="s">
        <v>69</v>
      </c>
      <c r="B7" s="165">
        <v>0</v>
      </c>
      <c r="C7" s="174">
        <v>100</v>
      </c>
      <c r="D7" s="175">
        <v>100</v>
      </c>
      <c r="E7" s="175">
        <v>100</v>
      </c>
      <c r="F7" s="175">
        <v>100</v>
      </c>
      <c r="G7" s="175">
        <v>100</v>
      </c>
      <c r="H7" s="175">
        <v>100</v>
      </c>
      <c r="I7" s="175">
        <v>100</v>
      </c>
      <c r="J7" s="176">
        <v>100</v>
      </c>
    </row>
    <row r="8" spans="1:12" x14ac:dyDescent="0.25">
      <c r="A8" s="229"/>
      <c r="B8" s="169">
        <v>0.1</v>
      </c>
      <c r="C8" s="166">
        <f>inter($B8,C$6,'[3]Clin-PDD'!$A$5:$G$13)</f>
        <v>75.622640091266902</v>
      </c>
      <c r="D8" s="167">
        <f>inter($B8,D$6,'[3]Clin-PDD'!$A$5:$G$13)</f>
        <v>75.622203710412833</v>
      </c>
      <c r="E8" s="167">
        <f>inter($B8,E$6,'[3]Clin-PDD'!$A$5:$G$13)</f>
        <v>75.622094615131132</v>
      </c>
      <c r="F8" s="167">
        <f>inter($B8,F$6,'[3]Clin-PDD'!$A$5:$G$13)</f>
        <v>75.622204681842902</v>
      </c>
      <c r="G8" s="167">
        <f>inter($B8,G$6,'[3]Clin-PDD'!$A$5:$G$13)</f>
        <v>75.622684755301194</v>
      </c>
      <c r="H8" s="167">
        <f>inter($B8,H$6,'[3]Clin-PDD'!$A$5:$G$13)</f>
        <v>75.622879292385733</v>
      </c>
      <c r="I8" s="167" t="e">
        <f>inter($B8,I$6,'[3]Clin-PDD'!$A$5:$G$13)</f>
        <v>#VALUE!</v>
      </c>
      <c r="J8" s="168" t="e">
        <f>inter($B8,J$6,'[3]Clin-PDD'!$A$5:$G$13)</f>
        <v>#VALUE!</v>
      </c>
    </row>
    <row r="9" spans="1:12" x14ac:dyDescent="0.25">
      <c r="A9" s="229"/>
      <c r="B9" s="169">
        <v>0.2</v>
      </c>
      <c r="C9" s="166">
        <f>inter($B9,C$6,'[3]Clin-PDD'!$A$5:$G$13)</f>
        <v>61.191836681603334</v>
      </c>
      <c r="D9" s="167">
        <f>inter($B9,D$6,'[3]Clin-PDD'!$A$5:$G$13)</f>
        <v>61.191122565357922</v>
      </c>
      <c r="E9" s="167">
        <f>inter($B9,E$6,'[3]Clin-PDD'!$A$5:$G$13)</f>
        <v>61.190944036184987</v>
      </c>
      <c r="F9" s="167">
        <f>inter($B9,F$6,'[3]Clin-PDD'!$A$5:$G$13)</f>
        <v>61.191107364470462</v>
      </c>
      <c r="G9" s="167">
        <f>inter($B9,G$6,'[3]Clin-PDD'!$A$5:$G$13)</f>
        <v>61.191872580876392</v>
      </c>
      <c r="H9" s="167">
        <f>inter($B9,H$6,'[3]Clin-PDD'!$A$5:$G$13)</f>
        <v>61.192183711252632</v>
      </c>
      <c r="I9" s="167" t="e">
        <f>inter($B9,I$6,'[3]Clin-PDD'!$A$5:$G$13)</f>
        <v>#VALUE!</v>
      </c>
      <c r="J9" s="168" t="e">
        <f>inter($B9,J$6,'[3]Clin-PDD'!$A$5:$G$13)</f>
        <v>#VALUE!</v>
      </c>
    </row>
    <row r="10" spans="1:12" x14ac:dyDescent="0.25">
      <c r="A10" s="229"/>
      <c r="B10" s="169">
        <v>0.4</v>
      </c>
      <c r="C10" s="166">
        <f>inter($B10,C$6,'[3]Clin-PDD'!$A$5:$G$13)</f>
        <v>42.255398616645678</v>
      </c>
      <c r="D10" s="167">
        <f>inter($B10,D$6,'[3]Clin-PDD'!$A$5:$G$13)</f>
        <v>42.255854798067723</v>
      </c>
      <c r="E10" s="167">
        <f>inter($B10,E$6,'[3]Clin-PDD'!$A$5:$G$13)</f>
        <v>42.255968843494514</v>
      </c>
      <c r="F10" s="167">
        <f>inter($B10,F$6,'[3]Clin-PDD'!$A$5:$G$13)</f>
        <v>42.256453536558396</v>
      </c>
      <c r="G10" s="167">
        <f>inter($B10,G$6,'[3]Clin-PDD'!$A$5:$G$13)</f>
        <v>42.25686452147368</v>
      </c>
      <c r="H10" s="167">
        <f>inter($B10,H$6,'[3]Clin-PDD'!$A$5:$G$13)</f>
        <v>42.257287332310469</v>
      </c>
      <c r="I10" s="167" t="e">
        <f>inter($B10,I$6,'[3]Clin-PDD'!$A$5:$G$13)</f>
        <v>#VALUE!</v>
      </c>
      <c r="J10" s="168" t="e">
        <f>inter($B10,J$6,'[3]Clin-PDD'!$A$5:$G$13)</f>
        <v>#VALUE!</v>
      </c>
    </row>
    <row r="11" spans="1:12" x14ac:dyDescent="0.25">
      <c r="A11" s="229"/>
      <c r="B11" s="169">
        <v>0.6</v>
      </c>
      <c r="C11" s="166">
        <f>inter($B11,C$6,'[3]Clin-PDD'!$A$5:$G$13)</f>
        <v>33.264901805601184</v>
      </c>
      <c r="D11" s="167">
        <f>inter($B11,D$6,'[3]Clin-PDD'!$A$5:$G$13)</f>
        <v>33.264571761912322</v>
      </c>
      <c r="E11" s="167">
        <f>inter($B11,E$6,'[3]Clin-PDD'!$A$5:$G$13)</f>
        <v>33.264489250938539</v>
      </c>
      <c r="F11" s="167">
        <f>inter($B11,F$6,'[3]Clin-PDD'!$A$5:$G$13)</f>
        <v>33.264839848016969</v>
      </c>
      <c r="G11" s="167">
        <f>inter($B11,G$6,'[3]Clin-PDD'!$A$5:$G$13)</f>
        <v>33.265619839200426</v>
      </c>
      <c r="H11" s="167">
        <f>inter($B11,H$6,'[3]Clin-PDD'!$A$5:$G$13)</f>
        <v>33.266066072541548</v>
      </c>
      <c r="I11" s="167" t="e">
        <f>inter($B11,I$6,'[3]Clin-PDD'!$A$5:$G$13)</f>
        <v>#VALUE!</v>
      </c>
      <c r="J11" s="168" t="e">
        <f>inter($B11,J$6,'[3]Clin-PDD'!$A$5:$G$13)</f>
        <v>#VALUE!</v>
      </c>
    </row>
    <row r="12" spans="1:12" x14ac:dyDescent="0.25">
      <c r="A12" s="229"/>
      <c r="B12" s="169">
        <v>0.8</v>
      </c>
      <c r="C12" s="166">
        <f>inter($B12,C$6,'[3]Clin-PDD'!$A$5:$G$13)</f>
        <v>24.27440499455669</v>
      </c>
      <c r="D12" s="167">
        <f>inter($B12,D$6,'[3]Clin-PDD'!$A$5:$G$13)</f>
        <v>24.273288725756913</v>
      </c>
      <c r="E12" s="167">
        <f>inter($B12,E$6,'[3]Clin-PDD'!$A$5:$G$13)</f>
        <v>24.273009658382552</v>
      </c>
      <c r="F12" s="167">
        <f>inter($B12,F$6,'[3]Clin-PDD'!$A$5:$G$13)</f>
        <v>24.273226159475534</v>
      </c>
      <c r="G12" s="167">
        <f>inter($B12,G$6,'[3]Clin-PDD'!$A$5:$G$13)</f>
        <v>24.27437515692716</v>
      </c>
      <c r="H12" s="167">
        <f>inter($B12,H$6,'[3]Clin-PDD'!$A$5:$G$13)</f>
        <v>24.274844812772628</v>
      </c>
      <c r="I12" s="167" t="e">
        <f>inter($B12,I$6,'[3]Clin-PDD'!$A$5:$G$13)</f>
        <v>#VALUE!</v>
      </c>
      <c r="J12" s="168" t="e">
        <f>inter($B12,J$6,'[3]Clin-PDD'!$A$5:$G$13)</f>
        <v>#VALUE!</v>
      </c>
    </row>
    <row r="13" spans="1:12" x14ac:dyDescent="0.25">
      <c r="A13" s="229"/>
      <c r="B13" s="170">
        <v>1</v>
      </c>
      <c r="C13" s="171">
        <f>inter($B13,C$6,'[3]Clin-PDD'!$A$5:$G$13)</f>
        <v>19.882307612333115</v>
      </c>
      <c r="D13" s="172">
        <f>inter($B13,D$6,'[3]Clin-PDD'!$A$5:$G$13)</f>
        <v>19.881243383951542</v>
      </c>
      <c r="E13" s="172">
        <f>inter($B13,E$6,'[3]Clin-PDD'!$A$5:$G$13)</f>
        <v>19.880977326689862</v>
      </c>
      <c r="F13" s="172">
        <f>inter($B13,F$6,'[3]Clin-PDD'!$A$5:$G$13)</f>
        <v>19.881178464321533</v>
      </c>
      <c r="G13" s="172">
        <f>inter($B13,G$6,'[3]Clin-PDD'!$A$5:$G$13)</f>
        <v>19.882267492231705</v>
      </c>
      <c r="H13" s="172">
        <f>inter($B13,H$6,'[3]Clin-PDD'!$A$5:$G$13)</f>
        <v>19.882712986480307</v>
      </c>
      <c r="I13" s="172" t="e">
        <f>inter($B13,I$6,'[3]Clin-PDD'!$A$5:$G$13)</f>
        <v>#VALUE!</v>
      </c>
      <c r="J13" s="173" t="e">
        <f>inter($B13,J$6,'[3]Clin-PDD'!$A$5:$G$13)</f>
        <v>#VALUE!</v>
      </c>
    </row>
    <row r="14" spans="1:12" x14ac:dyDescent="0.25">
      <c r="A14" s="3"/>
      <c r="B14" s="5"/>
      <c r="C14" s="5"/>
      <c r="D14" s="5"/>
      <c r="E14" s="5"/>
      <c r="F14" s="5"/>
      <c r="G14" s="5"/>
      <c r="H14" s="5"/>
      <c r="I14" s="5"/>
      <c r="J14" s="5"/>
    </row>
    <row r="15" spans="1:12" ht="18" x14ac:dyDescent="0.25">
      <c r="A15" s="178" t="s">
        <v>9</v>
      </c>
      <c r="B15" s="180">
        <v>25</v>
      </c>
      <c r="C15" s="181" t="s">
        <v>2</v>
      </c>
      <c r="D15" s="3"/>
      <c r="E15" s="3"/>
      <c r="F15" s="3"/>
    </row>
    <row r="16" spans="1:12" x14ac:dyDescent="0.25">
      <c r="A16" s="3"/>
      <c r="B16" s="3"/>
      <c r="C16" s="228" t="s">
        <v>70</v>
      </c>
      <c r="D16" s="228"/>
      <c r="E16" s="228"/>
      <c r="F16" s="228"/>
      <c r="G16" s="228"/>
      <c r="H16" s="228"/>
      <c r="I16" s="228"/>
      <c r="J16" s="228"/>
      <c r="K16" s="228"/>
      <c r="L16" s="228"/>
    </row>
    <row r="17" spans="1:12" x14ac:dyDescent="0.25">
      <c r="A17" s="3"/>
      <c r="B17" s="5"/>
      <c r="C17" s="162">
        <v>9.9999999999999995E-7</v>
      </c>
      <c r="D17" s="163">
        <f>'[3]Clin-PDD'!C$18</f>
        <v>1.6</v>
      </c>
      <c r="E17" s="163">
        <f>'[3]Clin-PDD'!D$18</f>
        <v>2</v>
      </c>
      <c r="F17" s="163">
        <f>'[3]Clin-PDD'!E$18</f>
        <v>4</v>
      </c>
      <c r="G17" s="163">
        <f>'[3]Clin-PDD'!F$18</f>
        <v>8</v>
      </c>
      <c r="H17" s="163">
        <f>'[3]Clin-PDD'!G$18</f>
        <v>10</v>
      </c>
      <c r="I17" s="163">
        <f>'[3]Clin-PDD'!H$18</f>
        <v>15</v>
      </c>
      <c r="J17" s="163">
        <f>'[3]Clin-PDD'!I$18</f>
        <v>0</v>
      </c>
      <c r="K17" s="163">
        <f>'[3]Clin-PDD'!J$18</f>
        <v>0</v>
      </c>
      <c r="L17" s="164">
        <f>'[3]Clin-PDD'!K$18</f>
        <v>0</v>
      </c>
    </row>
    <row r="18" spans="1:12" x14ac:dyDescent="0.25">
      <c r="A18" s="229" t="s">
        <v>69</v>
      </c>
      <c r="B18" s="165">
        <v>0</v>
      </c>
      <c r="C18" s="174">
        <v>100</v>
      </c>
      <c r="D18" s="175">
        <v>100</v>
      </c>
      <c r="E18" s="175">
        <v>100</v>
      </c>
      <c r="F18" s="175">
        <v>100</v>
      </c>
      <c r="G18" s="175">
        <v>100</v>
      </c>
      <c r="H18" s="175">
        <v>100</v>
      </c>
      <c r="I18" s="175">
        <v>100</v>
      </c>
      <c r="J18" s="175">
        <v>100</v>
      </c>
      <c r="K18" s="175">
        <v>100</v>
      </c>
      <c r="L18" s="176">
        <v>100</v>
      </c>
    </row>
    <row r="19" spans="1:12" x14ac:dyDescent="0.25">
      <c r="A19" s="229"/>
      <c r="B19" s="169">
        <v>0.1</v>
      </c>
      <c r="C19" s="166">
        <f>inter($B19,C$17,'[3]Clin-PDD'!$A$18:$H$26)</f>
        <v>77.523359380402155</v>
      </c>
      <c r="D19" s="167">
        <f>inter($B19,D$17,'[3]Clin-PDD'!$A$18:$H$26)</f>
        <v>77.523138959513773</v>
      </c>
      <c r="E19" s="167">
        <f>inter($B19,E$17,'[3]Clin-PDD'!$A$18:$H$26)</f>
        <v>77.523083854257237</v>
      </c>
      <c r="F19" s="167">
        <f>inter($B19,F$17,'[3]Clin-PDD'!$A$18:$H$26)</f>
        <v>77.523058710538066</v>
      </c>
      <c r="G19" s="167">
        <f>inter($B19,G$17,'[3]Clin-PDD'!$A$18:$H$26)</f>
        <v>77.523181743251854</v>
      </c>
      <c r="H19" s="167">
        <f>inter($B19,H$17,'[3]Clin-PDD'!$A$18:$H$26)</f>
        <v>77.523188685446257</v>
      </c>
      <c r="I19" s="167">
        <f>inter($B19,I$17,'[3]Clin-PDD'!$A$18:$H$26)</f>
        <v>77.523273569120917</v>
      </c>
      <c r="J19" s="167" t="e">
        <f>inter($B19,J$17,'[3]Clin-PDD'!$A$18:$H$26)</f>
        <v>#VALUE!</v>
      </c>
      <c r="K19" s="167" t="e">
        <f>inter($B19,K$17,'[3]Clin-PDD'!$A$18:$H$26)</f>
        <v>#VALUE!</v>
      </c>
      <c r="L19" s="168" t="e">
        <f>inter($B19,L$17,'[3]Clin-PDD'!$A$18:$H$26)</f>
        <v>#VALUE!</v>
      </c>
    </row>
    <row r="20" spans="1:12" x14ac:dyDescent="0.25">
      <c r="A20" s="229"/>
      <c r="B20" s="169">
        <v>0.2</v>
      </c>
      <c r="C20" s="166">
        <f>inter($B20,C$17,'[3]Clin-PDD'!$A$18:$H$26)</f>
        <v>63.537327470425019</v>
      </c>
      <c r="D20" s="167">
        <f>inter($B20,D$17,'[3]Clin-PDD'!$A$18:$H$26)</f>
        <v>63.536965272003293</v>
      </c>
      <c r="E20" s="167">
        <f>inter($B20,E$17,'[3]Clin-PDD'!$A$18:$H$26)</f>
        <v>63.536874722341267</v>
      </c>
      <c r="F20" s="167">
        <f>inter($B20,F$17,'[3]Clin-PDD'!$A$18:$H$26)</f>
        <v>63.536831389857376</v>
      </c>
      <c r="G20" s="167">
        <f>inter($B20,G$17,'[3]Clin-PDD'!$A$18:$H$26)</f>
        <v>63.537031165753909</v>
      </c>
      <c r="H20" s="167">
        <f>inter($B20,H$17,'[3]Clin-PDD'!$A$18:$H$26)</f>
        <v>63.537042321904138</v>
      </c>
      <c r="I20" s="167">
        <f>inter($B20,I$17,'[3]Clin-PDD'!$A$18:$H$26)</f>
        <v>63.537180289162237</v>
      </c>
      <c r="J20" s="167" t="e">
        <f>inter($B20,J$17,'[3]Clin-PDD'!$A$18:$H$26)</f>
        <v>#VALUE!</v>
      </c>
      <c r="K20" s="167" t="e">
        <f>inter($B20,K$17,'[3]Clin-PDD'!$A$18:$H$26)</f>
        <v>#VALUE!</v>
      </c>
      <c r="L20" s="168" t="e">
        <f>inter($B20,L$17,'[3]Clin-PDD'!$A$18:$H$26)</f>
        <v>#VALUE!</v>
      </c>
    </row>
    <row r="21" spans="1:12" x14ac:dyDescent="0.25">
      <c r="A21" s="229"/>
      <c r="B21" s="169">
        <v>0.4</v>
      </c>
      <c r="C21" s="166">
        <f>inter($B21,C$17,'[3]Clin-PDD'!$A$18:$H$26)</f>
        <v>45.046640406794587</v>
      </c>
      <c r="D21" s="167">
        <f>inter($B21,D$17,'[3]Clin-PDD'!$A$18:$H$26)</f>
        <v>45.04611236586382</v>
      </c>
      <c r="E21" s="167">
        <f>inter($B21,E$17,'[3]Clin-PDD'!$A$18:$H$26)</f>
        <v>45.045980355548622</v>
      </c>
      <c r="F21" s="167">
        <f>inter($B21,F$17,'[3]Clin-PDD'!$A$18:$H$26)</f>
        <v>45.045901480369267</v>
      </c>
      <c r="G21" s="167">
        <f>inter($B21,G$17,'[3]Clin-PDD'!$A$18:$H$26)</f>
        <v>45.046174090925561</v>
      </c>
      <c r="H21" s="167">
        <f>inter($B21,H$17,'[3]Clin-PDD'!$A$18:$H$26)</f>
        <v>45.04618839755733</v>
      </c>
      <c r="I21" s="167">
        <f>inter($B21,I$17,'[3]Clin-PDD'!$A$18:$H$26)</f>
        <v>45.046377739759151</v>
      </c>
      <c r="J21" s="167" t="e">
        <f>inter($B21,J$17,'[3]Clin-PDD'!$A$18:$H$26)</f>
        <v>#VALUE!</v>
      </c>
      <c r="K21" s="167" t="e">
        <f>inter($B21,K$17,'[3]Clin-PDD'!$A$18:$H$26)</f>
        <v>#VALUE!</v>
      </c>
      <c r="L21" s="168" t="e">
        <f>inter($B21,L$17,'[3]Clin-PDD'!$A$18:$H$26)</f>
        <v>#VALUE!</v>
      </c>
    </row>
    <row r="22" spans="1:12" x14ac:dyDescent="0.25">
      <c r="A22" s="229"/>
      <c r="B22" s="169">
        <v>0.6</v>
      </c>
      <c r="C22" s="166">
        <f>inter($B22,C$17,'[3]Clin-PDD'!$A$18:$H$26)</f>
        <v>35.798569771714398</v>
      </c>
      <c r="D22" s="167">
        <f>inter($B22,D$17,'[3]Clin-PDD'!$A$18:$H$26)</f>
        <v>35.797994426545131</v>
      </c>
      <c r="E22" s="167">
        <f>inter($B22,E$17,'[3]Clin-PDD'!$A$18:$H$26)</f>
        <v>35.797850590162923</v>
      </c>
      <c r="F22" s="167">
        <f>inter($B22,F$17,'[3]Clin-PDD'!$A$18:$H$26)</f>
        <v>35.797760531576088</v>
      </c>
      <c r="G22" s="167">
        <f>inter($B22,G$17,'[3]Clin-PDD'!$A$18:$H$26)</f>
        <v>35.79805267633818</v>
      </c>
      <c r="H22" s="167">
        <f>inter($B22,H$17,'[3]Clin-PDD'!$A$18:$H$26)</f>
        <v>35.798067751267112</v>
      </c>
      <c r="I22" s="167">
        <f>inter($B22,I$17,'[3]Clin-PDD'!$A$18:$H$26)</f>
        <v>35.798270962042608</v>
      </c>
      <c r="J22" s="167" t="e">
        <f>inter($B22,J$17,'[3]Clin-PDD'!$A$18:$H$26)</f>
        <v>#VALUE!</v>
      </c>
      <c r="K22" s="167" t="e">
        <f>inter($B22,K$17,'[3]Clin-PDD'!$A$18:$H$26)</f>
        <v>#VALUE!</v>
      </c>
      <c r="L22" s="168" t="e">
        <f>inter($B22,L$17,'[3]Clin-PDD'!$A$18:$H$26)</f>
        <v>#VALUE!</v>
      </c>
    </row>
    <row r="23" spans="1:12" x14ac:dyDescent="0.25">
      <c r="A23" s="229"/>
      <c r="B23" s="169">
        <v>0.8</v>
      </c>
      <c r="C23" s="166">
        <f>inter($B23,C$17,'[3]Clin-PDD'!$A$18:$H$26)</f>
        <v>26.550499136634194</v>
      </c>
      <c r="D23" s="167">
        <f>inter($B23,D$17,'[3]Clin-PDD'!$A$18:$H$26)</f>
        <v>26.549876487226442</v>
      </c>
      <c r="E23" s="167">
        <f>inter($B23,E$17,'[3]Clin-PDD'!$A$18:$H$26)</f>
        <v>26.549720824777214</v>
      </c>
      <c r="F23" s="167">
        <f>inter($B23,F$17,'[3]Clin-PDD'!$A$18:$H$26)</f>
        <v>26.549619582782903</v>
      </c>
      <c r="G23" s="167">
        <f>inter($B23,G$17,'[3]Clin-PDD'!$A$18:$H$26)</f>
        <v>26.5499312617508</v>
      </c>
      <c r="H23" s="167">
        <f>inter($B23,H$17,'[3]Clin-PDD'!$A$18:$H$26)</f>
        <v>26.549947104976891</v>
      </c>
      <c r="I23" s="167">
        <f>inter($B23,I$17,'[3]Clin-PDD'!$A$18:$H$26)</f>
        <v>26.55016418432605</v>
      </c>
      <c r="J23" s="167" t="e">
        <f>inter($B23,J$17,'[3]Clin-PDD'!$A$18:$H$26)</f>
        <v>#VALUE!</v>
      </c>
      <c r="K23" s="167" t="e">
        <f>inter($B23,K$17,'[3]Clin-PDD'!$A$18:$H$26)</f>
        <v>#VALUE!</v>
      </c>
      <c r="L23" s="168" t="e">
        <f>inter($B23,L$17,'[3]Clin-PDD'!$A$18:$H$26)</f>
        <v>#VALUE!</v>
      </c>
    </row>
    <row r="24" spans="1:12" x14ac:dyDescent="0.25">
      <c r="A24" s="229"/>
      <c r="B24" s="170">
        <v>1</v>
      </c>
      <c r="C24" s="171">
        <f>inter($B24,C$17,'[3]Clin-PDD'!$A$18:$H$26)</f>
        <v>22.044947185684482</v>
      </c>
      <c r="D24" s="172">
        <f>inter($B24,D$17,'[3]Clin-PDD'!$A$18:$H$26)</f>
        <v>22.044329276462889</v>
      </c>
      <c r="E24" s="172">
        <f>inter($B24,E$17,'[3]Clin-PDD'!$A$18:$H$26)</f>
        <v>22.044174799060947</v>
      </c>
      <c r="F24" s="172">
        <f>inter($B24,F$17,'[3]Clin-PDD'!$A$18:$H$26)</f>
        <v>22.044064021855348</v>
      </c>
      <c r="G24" s="172">
        <f>inter($B24,G$17,'[3]Clin-PDD'!$A$18:$H$26)</f>
        <v>22.044361094675331</v>
      </c>
      <c r="H24" s="172">
        <f>inter($B24,H$17,'[3]Clin-PDD'!$A$18:$H$26)</f>
        <v>22.044375532355808</v>
      </c>
      <c r="I24" s="172">
        <f>inter($B24,I$17,'[3]Clin-PDD'!$A$18:$H$26)</f>
        <v>22.044583215930302</v>
      </c>
      <c r="J24" s="172" t="e">
        <f>inter($B24,J$17,'[3]Clin-PDD'!$A$18:$H$26)</f>
        <v>#VALUE!</v>
      </c>
      <c r="K24" s="172" t="e">
        <f>inter($B24,K$17,'[3]Clin-PDD'!$A$18:$H$26)</f>
        <v>#VALUE!</v>
      </c>
      <c r="L24" s="173" t="e">
        <f>inter($B24,L$17,'[3]Clin-PDD'!$A$18:$H$26)</f>
        <v>#VALUE!</v>
      </c>
    </row>
    <row r="27" spans="1:12" x14ac:dyDescent="0.25">
      <c r="A27" s="233" t="s">
        <v>130</v>
      </c>
      <c r="B27" s="234"/>
      <c r="C27" s="234"/>
      <c r="D27" s="234"/>
      <c r="E27" s="234"/>
      <c r="F27" s="234"/>
      <c r="G27" s="234"/>
      <c r="H27" s="234"/>
      <c r="I27" s="234"/>
      <c r="J27" s="234"/>
      <c r="K27" s="234"/>
      <c r="L27" s="235"/>
    </row>
    <row r="28" spans="1:12" ht="18" x14ac:dyDescent="0.25">
      <c r="A28" s="177" t="s">
        <v>9</v>
      </c>
      <c r="B28" s="182">
        <v>15</v>
      </c>
      <c r="C28" s="179" t="s">
        <v>2</v>
      </c>
      <c r="D28" s="3"/>
      <c r="E28" s="3"/>
      <c r="F28" s="3"/>
    </row>
    <row r="29" spans="1:12" x14ac:dyDescent="0.25">
      <c r="A29" s="3"/>
      <c r="B29" s="3"/>
      <c r="C29" s="228" t="s">
        <v>70</v>
      </c>
      <c r="D29" s="228"/>
      <c r="E29" s="228"/>
      <c r="F29" s="228"/>
      <c r="G29" s="228"/>
      <c r="H29" s="228"/>
      <c r="I29" s="228"/>
      <c r="J29" s="228"/>
    </row>
    <row r="30" spans="1:12" x14ac:dyDescent="0.25">
      <c r="A30" s="3"/>
      <c r="B30" s="5"/>
      <c r="C30" s="186">
        <v>9.9999999999999995E-7</v>
      </c>
      <c r="D30" s="187">
        <f>'[3]Clin-PDD'!C$34</f>
        <v>1</v>
      </c>
      <c r="E30" s="187">
        <f>'[3]Clin-PDD'!D$34</f>
        <v>2</v>
      </c>
      <c r="F30" s="187">
        <f>'[3]Clin-PDD'!E$34</f>
        <v>3</v>
      </c>
      <c r="G30" s="187">
        <f>'[3]Clin-PDD'!F$34</f>
        <v>4</v>
      </c>
      <c r="H30" s="187">
        <f>'[3]Clin-PDD'!G$34</f>
        <v>5</v>
      </c>
      <c r="I30" s="187">
        <f>'[3]Clin-PDD'!H$34</f>
        <v>6</v>
      </c>
      <c r="J30" s="188">
        <f>'[3]Clin-PDD'!I$34</f>
        <v>8</v>
      </c>
      <c r="K30" s="5"/>
    </row>
    <row r="31" spans="1:12" x14ac:dyDescent="0.25">
      <c r="A31" s="229" t="s">
        <v>69</v>
      </c>
      <c r="B31" s="183">
        <v>0</v>
      </c>
      <c r="C31" s="174">
        <v>100</v>
      </c>
      <c r="D31" s="175">
        <v>100</v>
      </c>
      <c r="E31" s="175">
        <v>100</v>
      </c>
      <c r="F31" s="175">
        <v>100</v>
      </c>
      <c r="G31" s="175">
        <v>100</v>
      </c>
      <c r="H31" s="175">
        <v>100</v>
      </c>
      <c r="I31" s="175">
        <v>100</v>
      </c>
      <c r="J31" s="176">
        <v>100</v>
      </c>
    </row>
    <row r="32" spans="1:12" x14ac:dyDescent="0.25">
      <c r="A32" s="229"/>
      <c r="B32" s="184">
        <v>0.2</v>
      </c>
      <c r="C32" s="166">
        <f>inter($B32,C$30,'[3]Clin-PDD'!$A$34:$I$41)</f>
        <v>84.817985673729709</v>
      </c>
      <c r="D32" s="167">
        <f>inter($B32,D$30,'[3]Clin-PDD'!$A$34:$I$41)</f>
        <v>85.920285714285711</v>
      </c>
      <c r="E32" s="167">
        <f>inter($B32,E$30,'[3]Clin-PDD'!$A$34:$I$41)</f>
        <v>86.777142857142863</v>
      </c>
      <c r="F32" s="167">
        <f>inter($B32,F$30,'[3]Clin-PDD'!$A$34:$I$41)</f>
        <v>87.384666666666661</v>
      </c>
      <c r="G32" s="167">
        <f>inter($B32,G$30,'[3]Clin-PDD'!$A$34:$I$41)</f>
        <v>87.777666666666676</v>
      </c>
      <c r="H32" s="167">
        <f>inter($B32,H$30,'[3]Clin-PDD'!$A$34:$I$41)</f>
        <v>88.126666666666665</v>
      </c>
      <c r="I32" s="167">
        <f>inter($B32,I$30,'[3]Clin-PDD'!$A$34:$I$41)</f>
        <v>88.392511885019928</v>
      </c>
      <c r="J32" s="168">
        <f>inter($B32,J$30,'[3]Clin-PDD'!$A$34:$I$41)</f>
        <v>88.850868988393131</v>
      </c>
    </row>
    <row r="33" spans="1:11" x14ac:dyDescent="0.25">
      <c r="A33" s="229"/>
      <c r="B33" s="184">
        <v>0.4</v>
      </c>
      <c r="C33" s="166">
        <f>inter($B33,C$30,'[3]Clin-PDD'!$A$34:$I$41)</f>
        <v>69.635971347459432</v>
      </c>
      <c r="D33" s="167">
        <f>inter($B33,D$30,'[3]Clin-PDD'!$A$34:$I$41)</f>
        <v>71.840571428571437</v>
      </c>
      <c r="E33" s="167">
        <f>inter($B33,E$30,'[3]Clin-PDD'!$A$34:$I$41)</f>
        <v>73.554285714285726</v>
      </c>
      <c r="F33" s="167">
        <f>inter($B33,F$30,'[3]Clin-PDD'!$A$34:$I$41)</f>
        <v>74.769333333333336</v>
      </c>
      <c r="G33" s="167">
        <f>inter($B33,G$30,'[3]Clin-PDD'!$A$34:$I$41)</f>
        <v>75.555333333333337</v>
      </c>
      <c r="H33" s="167">
        <f>inter($B33,H$30,'[3]Clin-PDD'!$A$34:$I$41)</f>
        <v>76.25333333333333</v>
      </c>
      <c r="I33" s="167">
        <f>inter($B33,I$30,'[3]Clin-PDD'!$A$34:$I$41)</f>
        <v>76.785023770039857</v>
      </c>
      <c r="J33" s="168">
        <f>inter($B33,J$30,'[3]Clin-PDD'!$A$34:$I$41)</f>
        <v>77.701737976786248</v>
      </c>
    </row>
    <row r="34" spans="1:11" x14ac:dyDescent="0.25">
      <c r="A34" s="229"/>
      <c r="B34" s="184">
        <v>0.8</v>
      </c>
      <c r="C34" s="166">
        <f>inter($B34,C$30,'[3]Clin-PDD'!$A$34:$I$41)</f>
        <v>50.473456744451425</v>
      </c>
      <c r="D34" s="167">
        <f>inter($B34,D$30,'[3]Clin-PDD'!$A$34:$I$41)</f>
        <v>53.884571428571427</v>
      </c>
      <c r="E34" s="167">
        <f>inter($B34,E$30,'[3]Clin-PDD'!$A$34:$I$41)</f>
        <v>56.265619047619047</v>
      </c>
      <c r="F34" s="167">
        <f>inter($B34,F$30,'[3]Clin-PDD'!$A$34:$I$41)</f>
        <v>57.825333333333333</v>
      </c>
      <c r="G34" s="167">
        <f>inter($B34,G$30,'[3]Clin-PDD'!$A$34:$I$41)</f>
        <v>58.794666666666664</v>
      </c>
      <c r="H34" s="167">
        <f>inter($B34,H$30,'[3]Clin-PDD'!$A$34:$I$41)</f>
        <v>59.565999999999995</v>
      </c>
      <c r="I34" s="167">
        <f>inter($B34,I$30,'[3]Clin-PDD'!$A$34:$I$41)</f>
        <v>60.321964087216813</v>
      </c>
      <c r="J34" s="168">
        <f>inter($B34,J$30,'[3]Clin-PDD'!$A$34:$I$41)</f>
        <v>61.606558928317106</v>
      </c>
    </row>
    <row r="35" spans="1:11" x14ac:dyDescent="0.25">
      <c r="A35" s="229"/>
      <c r="B35" s="184">
        <v>1.2</v>
      </c>
      <c r="C35" s="166">
        <f>inter($B35,C$30,'[3]Clin-PDD'!$A$34:$I$41)</f>
        <v>40.245781591031431</v>
      </c>
      <c r="D35" s="167">
        <f>inter($B35,D$30,'[3]Clin-PDD'!$A$34:$I$41)</f>
        <v>43.741571428571433</v>
      </c>
      <c r="E35" s="167">
        <f>inter($B35,E$30,'[3]Clin-PDD'!$A$34:$I$41)</f>
        <v>46.096952380952388</v>
      </c>
      <c r="F35" s="167">
        <f>inter($B35,F$30,'[3]Clin-PDD'!$A$34:$I$41)</f>
        <v>47.664000000000001</v>
      </c>
      <c r="G35" s="167">
        <f>inter($B35,G$30,'[3]Clin-PDD'!$A$34:$I$41)</f>
        <v>48.644333333333336</v>
      </c>
      <c r="H35" s="167">
        <f>inter($B35,H$30,'[3]Clin-PDD'!$A$34:$I$41)</f>
        <v>49.408333333333331</v>
      </c>
      <c r="I35" s="167">
        <f>inter($B35,I$30,'[3]Clin-PDD'!$A$34:$I$41)</f>
        <v>50.03376568874576</v>
      </c>
      <c r="J35" s="168">
        <f>inter($B35,J$30,'[3]Clin-PDD'!$A$34:$I$41)</f>
        <v>51.031630399570588</v>
      </c>
    </row>
    <row r="36" spans="1:11" x14ac:dyDescent="0.25">
      <c r="A36" s="229"/>
      <c r="B36" s="185">
        <v>2.5</v>
      </c>
      <c r="C36" s="171">
        <f>inter($B36,C$30,'[3]Clin-PDD'!$A$34:$I$41)</f>
        <v>18.58529698110911</v>
      </c>
      <c r="D36" s="172">
        <f>inter($B36,D$30,'[3]Clin-PDD'!$A$34:$I$41)</f>
        <v>21.399736607142859</v>
      </c>
      <c r="E36" s="172">
        <f>inter($B36,E$30,'[3]Clin-PDD'!$A$34:$I$41)</f>
        <v>23.252619047619046</v>
      </c>
      <c r="F36" s="172">
        <f>inter($B36,F$30,'[3]Clin-PDD'!$A$34:$I$41)</f>
        <v>24.690416666666668</v>
      </c>
      <c r="G36" s="172">
        <f>inter($B36,G$30,'[3]Clin-PDD'!$A$34:$I$41)</f>
        <v>25.646916666666666</v>
      </c>
      <c r="H36" s="172">
        <f>inter($B36,H$30,'[3]Clin-PDD'!$A$34:$I$41)</f>
        <v>26.401750000000003</v>
      </c>
      <c r="I36" s="172">
        <f>inter($B36,I$30,'[3]Clin-PDD'!$A$34:$I$41)</f>
        <v>26.781936941287498</v>
      </c>
      <c r="J36" s="173">
        <f>inter($B36,J$30,'[3]Clin-PDD'!$A$34:$I$41)</f>
        <v>27.285644157195829</v>
      </c>
    </row>
    <row r="37" spans="1:11" x14ac:dyDescent="0.25">
      <c r="A37" s="3"/>
      <c r="B37" s="5"/>
      <c r="C37" s="5"/>
      <c r="D37" s="5"/>
      <c r="E37" s="5"/>
      <c r="F37" s="5"/>
      <c r="G37" s="5"/>
      <c r="H37" s="5"/>
      <c r="I37" s="5"/>
      <c r="J37" s="5"/>
    </row>
    <row r="38" spans="1:11" ht="18" x14ac:dyDescent="0.25">
      <c r="A38" s="178" t="s">
        <v>9</v>
      </c>
      <c r="B38" s="180">
        <v>25</v>
      </c>
      <c r="C38" s="181" t="s">
        <v>2</v>
      </c>
      <c r="D38" s="3"/>
      <c r="E38" s="3"/>
      <c r="F38" s="3"/>
    </row>
    <row r="39" spans="1:11" x14ac:dyDescent="0.25">
      <c r="A39" s="3"/>
      <c r="B39" s="3"/>
      <c r="C39" s="228" t="s">
        <v>70</v>
      </c>
      <c r="D39" s="228"/>
      <c r="E39" s="228"/>
      <c r="F39" s="228"/>
      <c r="G39" s="228"/>
      <c r="H39" s="228"/>
      <c r="I39" s="228"/>
      <c r="J39" s="228"/>
      <c r="K39" s="119"/>
    </row>
    <row r="40" spans="1:11" x14ac:dyDescent="0.25">
      <c r="A40" s="3"/>
      <c r="B40" s="5"/>
      <c r="C40" s="162">
        <v>9.9999999999999995E-7</v>
      </c>
      <c r="D40" s="163">
        <f>'[3]Clin-PDD'!C$46</f>
        <v>1</v>
      </c>
      <c r="E40" s="163">
        <f>'[3]Clin-PDD'!D$46</f>
        <v>2</v>
      </c>
      <c r="F40" s="163">
        <f>'[3]Clin-PDD'!E$46</f>
        <v>3</v>
      </c>
      <c r="G40" s="163">
        <f>'[3]Clin-PDD'!F$46</f>
        <v>4</v>
      </c>
      <c r="H40" s="163">
        <f>'[3]Clin-PDD'!G$46</f>
        <v>5</v>
      </c>
      <c r="I40" s="163">
        <f>'[3]Clin-PDD'!H$46</f>
        <v>6</v>
      </c>
      <c r="J40" s="163">
        <f>'[3]Clin-PDD'!I$46</f>
        <v>10</v>
      </c>
      <c r="K40" s="164">
        <f>'[3]Clin-PDD'!J$46</f>
        <v>15</v>
      </c>
    </row>
    <row r="41" spans="1:11" x14ac:dyDescent="0.25">
      <c r="A41" s="229" t="s">
        <v>69</v>
      </c>
      <c r="B41" s="183">
        <v>0</v>
      </c>
      <c r="C41" s="174">
        <v>100</v>
      </c>
      <c r="D41" s="175">
        <v>100</v>
      </c>
      <c r="E41" s="175">
        <v>100</v>
      </c>
      <c r="F41" s="175">
        <v>100</v>
      </c>
      <c r="G41" s="175">
        <v>100</v>
      </c>
      <c r="H41" s="175">
        <v>100</v>
      </c>
      <c r="I41" s="175">
        <v>100</v>
      </c>
      <c r="J41" s="175">
        <v>100</v>
      </c>
      <c r="K41" s="176">
        <v>100</v>
      </c>
    </row>
    <row r="42" spans="1:11" x14ac:dyDescent="0.25">
      <c r="A42" s="229"/>
      <c r="B42" s="184">
        <v>0.2</v>
      </c>
      <c r="C42" s="166">
        <f>inter($B42,C$40,'[3]Clin-PDD'!$A$46:$J$53)</f>
        <v>85.794422882173663</v>
      </c>
      <c r="D42" s="167">
        <f>inter($B42,D$40,'[3]Clin-PDD'!$A$46:$J$53)</f>
        <v>87.079164414265179</v>
      </c>
      <c r="E42" s="167">
        <f>inter($B42,E$40,'[3]Clin-PDD'!$A$46:$J$53)</f>
        <v>88.002347416984037</v>
      </c>
      <c r="F42" s="167">
        <f>inter($B42,F$40,'[3]Clin-PDD'!$A$46:$J$53)</f>
        <v>88.70553041970291</v>
      </c>
      <c r="G42" s="167">
        <f>inter($B42,G$40,'[3]Clin-PDD'!$A$46:$J$53)</f>
        <v>89.067829203182356</v>
      </c>
      <c r="H42" s="167">
        <f>inter($B42,H$40,'[3]Clin-PDD'!$A$46:$J$53)</f>
        <v>89.35679465332845</v>
      </c>
      <c r="I42" s="167">
        <f>inter($B42,I$40,'[3]Clin-PDD'!$A$46:$J$53)</f>
        <v>89.493148341711404</v>
      </c>
      <c r="J42" s="167">
        <f>inter($B42,J$40,'[3]Clin-PDD'!$A$46:$J$53)</f>
        <v>89.877229761909874</v>
      </c>
      <c r="K42" s="168">
        <f>inter($B42,K$40,'[3]Clin-PDD'!$A$46:$J$53)</f>
        <v>90.25601631673365</v>
      </c>
    </row>
    <row r="43" spans="1:11" x14ac:dyDescent="0.25">
      <c r="A43" s="229"/>
      <c r="B43" s="184">
        <v>0.4</v>
      </c>
      <c r="C43" s="166">
        <f>inter($B43,C$40,'[3]Clin-PDD'!$A$46:$J$53)</f>
        <v>71.588845764347326</v>
      </c>
      <c r="D43" s="167">
        <f>inter($B43,D$40,'[3]Clin-PDD'!$A$46:$J$53)</f>
        <v>74.158328828530358</v>
      </c>
      <c r="E43" s="167">
        <f>inter($B43,E$40,'[3]Clin-PDD'!$A$46:$J$53)</f>
        <v>76.004694833968088</v>
      </c>
      <c r="F43" s="167">
        <f>inter($B43,F$40,'[3]Clin-PDD'!$A$46:$J$53)</f>
        <v>77.41106083940582</v>
      </c>
      <c r="G43" s="167">
        <f>inter($B43,G$40,'[3]Clin-PDD'!$A$46:$J$53)</f>
        <v>78.135658406364698</v>
      </c>
      <c r="H43" s="167">
        <f>inter($B43,H$40,'[3]Clin-PDD'!$A$46:$J$53)</f>
        <v>78.713589306656885</v>
      </c>
      <c r="I43" s="167">
        <f>inter($B43,I$40,'[3]Clin-PDD'!$A$46:$J$53)</f>
        <v>78.986296683422793</v>
      </c>
      <c r="J43" s="167">
        <f>inter($B43,J$40,'[3]Clin-PDD'!$A$46:$J$53)</f>
        <v>79.754459523819733</v>
      </c>
      <c r="K43" s="168">
        <f>inter($B43,K$40,'[3]Clin-PDD'!$A$46:$J$53)</f>
        <v>80.5120326334673</v>
      </c>
    </row>
    <row r="44" spans="1:11" x14ac:dyDescent="0.25">
      <c r="A44" s="229"/>
      <c r="B44" s="184">
        <v>0.8</v>
      </c>
      <c r="C44" s="166">
        <f>inter($B44,C$40,'[3]Clin-PDD'!$A$46:$J$53)</f>
        <v>54.219501010334326</v>
      </c>
      <c r="D44" s="167">
        <f>inter($B44,D$40,'[3]Clin-PDD'!$A$46:$J$53)</f>
        <v>57.12232444903097</v>
      </c>
      <c r="E44" s="167">
        <f>inter($B44,E$40,'[3]Clin-PDD'!$A$46:$J$53)</f>
        <v>59.477479092498314</v>
      </c>
      <c r="F44" s="167">
        <f>inter($B44,F$40,'[3]Clin-PDD'!$A$46:$J$53)</f>
        <v>61.216633735965665</v>
      </c>
      <c r="G44" s="167">
        <f>inter($B44,G$40,'[3]Clin-PDD'!$A$46:$J$53)</f>
        <v>62.131183673048739</v>
      </c>
      <c r="H44" s="167">
        <f>inter($B44,H$40,'[3]Clin-PDD'!$A$46:$J$53)</f>
        <v>62.818400276798478</v>
      </c>
      <c r="I44" s="167">
        <f>inter($B44,I$40,'[3]Clin-PDD'!$A$46:$J$53)</f>
        <v>63.295963470976616</v>
      </c>
      <c r="J44" s="167">
        <f>inter($B44,J$40,'[3]Clin-PDD'!$A$46:$J$53)</f>
        <v>64.758882914355823</v>
      </c>
      <c r="K44" s="168">
        <f>inter($B44,K$40,'[3]Clin-PDD'!$A$46:$J$53)</f>
        <v>65.636342980262185</v>
      </c>
    </row>
    <row r="45" spans="1:11" x14ac:dyDescent="0.25">
      <c r="A45" s="229"/>
      <c r="B45" s="184">
        <v>1.2</v>
      </c>
      <c r="C45" s="166">
        <f>inter($B45,C$40,'[3]Clin-PDD'!$A$46:$J$53)</f>
        <v>43.71933723531356</v>
      </c>
      <c r="D45" s="167">
        <f>inter($B45,D$40,'[3]Clin-PDD'!$A$46:$J$53)</f>
        <v>46.690879684790829</v>
      </c>
      <c r="E45" s="167">
        <f>inter($B45,E$40,'[3]Clin-PDD'!$A$46:$J$53)</f>
        <v>49.049618130050717</v>
      </c>
      <c r="F45" s="167">
        <f>inter($B45,F$40,'[3]Clin-PDD'!$A$46:$J$53)</f>
        <v>50.803356575310609</v>
      </c>
      <c r="G45" s="167">
        <f>inter($B45,G$40,'[3]Clin-PDD'!$A$46:$J$53)</f>
        <v>51.733411992746312</v>
      </c>
      <c r="H45" s="167">
        <f>inter($B45,H$40,'[3]Clin-PDD'!$A$46:$J$53)</f>
        <v>52.432467410182014</v>
      </c>
      <c r="I45" s="167">
        <f>inter($B45,I$40,'[3]Clin-PDD'!$A$46:$J$53)</f>
        <v>52.872899485596804</v>
      </c>
      <c r="J45" s="167">
        <f>inter($B45,J$40,'[3]Clin-PDD'!$A$46:$J$53)</f>
        <v>54.128627787255979</v>
      </c>
      <c r="K45" s="168">
        <f>inter($B45,K$40,'[3]Clin-PDD'!$A$46:$J$53)</f>
        <v>55.023483246886641</v>
      </c>
    </row>
    <row r="46" spans="1:11" x14ac:dyDescent="0.25">
      <c r="A46" s="229"/>
      <c r="B46" s="185">
        <v>2.5</v>
      </c>
      <c r="C46" s="171">
        <f>inter($B46,C$40,'[3]Clin-PDD'!$A$46:$J$53)</f>
        <v>20.811776485725286</v>
      </c>
      <c r="D46" s="172">
        <f>inter($B46,D$40,'[3]Clin-PDD'!$A$46:$J$53)</f>
        <v>23.452117458742865</v>
      </c>
      <c r="E46" s="172">
        <f>inter($B46,E$40,'[3]Clin-PDD'!$A$46:$J$53)</f>
        <v>25.448797963484004</v>
      </c>
      <c r="F46" s="172">
        <f>inter($B46,F$40,'[3]Clin-PDD'!$A$46:$J$53)</f>
        <v>27.055895134891809</v>
      </c>
      <c r="G46" s="172">
        <f>inter($B46,G$40,'[3]Clin-PDD'!$A$46:$J$53)</f>
        <v>27.946142198815412</v>
      </c>
      <c r="H46" s="172">
        <f>inter($B46,H$40,'[3]Clin-PDD'!$A$46:$J$53)</f>
        <v>28.652139262739013</v>
      </c>
      <c r="I46" s="172">
        <f>inter($B46,I$40,'[3]Clin-PDD'!$A$46:$J$53)</f>
        <v>29.052743794429734</v>
      </c>
      <c r="J46" s="172">
        <f>inter($B46,J$40,'[3]Clin-PDD'!$A$46:$J$53)</f>
        <v>30.147328587859292</v>
      </c>
      <c r="K46" s="173">
        <f>inter($B46,K$40,'[3]Clin-PDD'!$A$46:$J$53)</f>
        <v>31.033400645495178</v>
      </c>
    </row>
    <row r="49" spans="1:12" x14ac:dyDescent="0.25">
      <c r="A49" s="236" t="s">
        <v>131</v>
      </c>
      <c r="B49" s="237"/>
      <c r="C49" s="237"/>
      <c r="D49" s="237"/>
      <c r="E49" s="237"/>
      <c r="F49" s="237"/>
      <c r="G49" s="237"/>
      <c r="H49" s="237"/>
      <c r="I49" s="237"/>
      <c r="J49" s="237"/>
      <c r="K49" s="237"/>
      <c r="L49" s="238"/>
    </row>
    <row r="50" spans="1:12" ht="18" x14ac:dyDescent="0.25">
      <c r="A50" s="177" t="s">
        <v>9</v>
      </c>
      <c r="B50" s="182">
        <v>15</v>
      </c>
      <c r="C50" s="179" t="s">
        <v>2</v>
      </c>
      <c r="D50" s="3"/>
      <c r="E50" s="3"/>
      <c r="F50" s="3"/>
    </row>
    <row r="51" spans="1:12" x14ac:dyDescent="0.25">
      <c r="A51" s="3"/>
      <c r="B51" s="3"/>
      <c r="C51" s="228" t="s">
        <v>70</v>
      </c>
      <c r="D51" s="228"/>
      <c r="E51" s="228"/>
      <c r="F51" s="228"/>
      <c r="G51" s="228"/>
      <c r="H51" s="228"/>
      <c r="I51" s="228"/>
      <c r="J51" s="228"/>
    </row>
    <row r="52" spans="1:12" x14ac:dyDescent="0.25">
      <c r="A52" s="3"/>
      <c r="B52" s="5"/>
      <c r="C52" s="162">
        <v>9.9999999999999995E-7</v>
      </c>
      <c r="D52" s="163">
        <f>'[3]Clin-PDD'!C$61</f>
        <v>1</v>
      </c>
      <c r="E52" s="163">
        <f>'[3]Clin-PDD'!D$61</f>
        <v>2</v>
      </c>
      <c r="F52" s="163">
        <f>'[3]Clin-PDD'!E$61</f>
        <v>3</v>
      </c>
      <c r="G52" s="163">
        <f>'[3]Clin-PDD'!F$61</f>
        <v>4</v>
      </c>
      <c r="H52" s="163">
        <f>'[3]Clin-PDD'!G$61</f>
        <v>5</v>
      </c>
      <c r="I52" s="163">
        <f>'[3]Clin-PDD'!H$61</f>
        <v>6</v>
      </c>
      <c r="J52" s="164">
        <f>'[3]Clin-PDD'!I$61</f>
        <v>8</v>
      </c>
      <c r="K52" s="5"/>
    </row>
    <row r="53" spans="1:12" ht="15" customHeight="1" x14ac:dyDescent="0.25">
      <c r="A53" s="229" t="s">
        <v>69</v>
      </c>
      <c r="B53" s="165">
        <v>0</v>
      </c>
      <c r="C53" s="174">
        <v>100</v>
      </c>
      <c r="D53" s="175">
        <v>100</v>
      </c>
      <c r="E53" s="175">
        <v>100</v>
      </c>
      <c r="F53" s="175">
        <v>100</v>
      </c>
      <c r="G53" s="175">
        <v>100</v>
      </c>
      <c r="H53" s="175">
        <v>100</v>
      </c>
      <c r="I53" s="175">
        <v>100</v>
      </c>
      <c r="J53" s="176">
        <v>100</v>
      </c>
    </row>
    <row r="54" spans="1:12" x14ac:dyDescent="0.25">
      <c r="A54" s="229"/>
      <c r="B54" s="169">
        <v>0.5</v>
      </c>
      <c r="C54" s="166">
        <f>inter($B54,C$52,'[3]Clin-PDD'!$A$61:$I$67)</f>
        <v>71.577004323000011</v>
      </c>
      <c r="D54" s="167">
        <f>inter($B54,D$52,'[3]Clin-PDD'!$A$61:$I$67)</f>
        <v>75.900000000000006</v>
      </c>
      <c r="E54" s="167">
        <f>inter($B54,E$52,'[3]Clin-PDD'!$A$61:$I$67)</f>
        <v>79.5</v>
      </c>
      <c r="F54" s="167">
        <f>inter($B54,F$52,'[3]Clin-PDD'!$A$61:$I$67)</f>
        <v>82</v>
      </c>
      <c r="G54" s="167">
        <f>inter($B54,G$52,'[3]Clin-PDD'!$A$61:$I$67)</f>
        <v>83.6</v>
      </c>
      <c r="H54" s="167">
        <f>inter($B54,H$52,'[3]Clin-PDD'!$A$61:$I$67)</f>
        <v>84.7</v>
      </c>
      <c r="I54" s="167">
        <f>inter($B54,I$52,'[3]Clin-PDD'!$A$61:$I$67)</f>
        <v>85.6</v>
      </c>
      <c r="J54" s="168">
        <f>inter($B54,J$52,'[3]Clin-PDD'!$A$61:$I$67)</f>
        <v>86.7</v>
      </c>
    </row>
    <row r="55" spans="1:12" x14ac:dyDescent="0.25">
      <c r="A55" s="229"/>
      <c r="B55" s="169">
        <v>1</v>
      </c>
      <c r="C55" s="166">
        <f>inter($B55,C$52,'[3]Clin-PDD'!$A$61:$I$67)</f>
        <v>50.925007274999999</v>
      </c>
      <c r="D55" s="167">
        <f>inter($B55,D$52,'[3]Clin-PDD'!$A$61:$I$67)</f>
        <v>58.2</v>
      </c>
      <c r="E55" s="167">
        <f>inter($B55,E$52,'[3]Clin-PDD'!$A$61:$I$67)</f>
        <v>63.9</v>
      </c>
      <c r="F55" s="167">
        <f>inter($B55,F$52,'[3]Clin-PDD'!$A$61:$I$67)</f>
        <v>68.099999999999994</v>
      </c>
      <c r="G55" s="167">
        <f>inter($B55,G$52,'[3]Clin-PDD'!$A$61:$I$67)</f>
        <v>70.5</v>
      </c>
      <c r="H55" s="167">
        <f>inter($B55,H$52,'[3]Clin-PDD'!$A$61:$I$67)</f>
        <v>72</v>
      </c>
      <c r="I55" s="167">
        <f>inter($B55,I$52,'[3]Clin-PDD'!$A$61:$I$67)</f>
        <v>73.2</v>
      </c>
      <c r="J55" s="168">
        <f>inter($B55,J$52,'[3]Clin-PDD'!$A$61:$I$67)</f>
        <v>74.900000000000006</v>
      </c>
    </row>
    <row r="56" spans="1:12" x14ac:dyDescent="0.25">
      <c r="A56" s="229"/>
      <c r="B56" s="169">
        <v>2</v>
      </c>
      <c r="C56" s="166">
        <f>inter($B56,C$52,'[3]Clin-PDD'!$A$61:$I$67)</f>
        <v>30.943006056999995</v>
      </c>
      <c r="D56" s="167">
        <f>inter($B56,D$52,'[3]Clin-PDD'!$A$61:$I$67)</f>
        <v>37</v>
      </c>
      <c r="E56" s="167">
        <f>inter($B56,E$52,'[3]Clin-PDD'!$A$61:$I$67)</f>
        <v>42.1</v>
      </c>
      <c r="F56" s="167">
        <f>inter($B56,F$52,'[3]Clin-PDD'!$A$61:$I$67)</f>
        <v>46.1</v>
      </c>
      <c r="G56" s="167">
        <f>inter($B56,G$52,'[3]Clin-PDD'!$A$61:$I$67)</f>
        <v>48.9</v>
      </c>
      <c r="H56" s="167">
        <f>inter($B56,H$52,'[3]Clin-PDD'!$A$61:$I$67)</f>
        <v>50.9</v>
      </c>
      <c r="I56" s="167">
        <f>inter($B56,I$52,'[3]Clin-PDD'!$A$61:$I$67)</f>
        <v>52.4</v>
      </c>
      <c r="J56" s="168">
        <f>inter($B56,J$52,'[3]Clin-PDD'!$A$61:$I$67)</f>
        <v>54.4</v>
      </c>
    </row>
    <row r="57" spans="1:12" x14ac:dyDescent="0.25">
      <c r="A57" s="229"/>
      <c r="B57" s="169">
        <v>3</v>
      </c>
      <c r="C57" s="166">
        <f>inter($B57,C$52,'[3]Clin-PDD'!$A$61:$I$67)</f>
        <v>19.594004506000001</v>
      </c>
      <c r="D57" s="167">
        <f>inter($B57,D$52,'[3]Clin-PDD'!$A$61:$I$67)</f>
        <v>24.1</v>
      </c>
      <c r="E57" s="167">
        <f>inter($B57,E$52,'[3]Clin-PDD'!$A$61:$I$67)</f>
        <v>28</v>
      </c>
      <c r="F57" s="167">
        <f>inter($B57,F$52,'[3]Clin-PDD'!$A$61:$I$67)</f>
        <v>31.5</v>
      </c>
      <c r="G57" s="167">
        <f>inter($B57,G$52,'[3]Clin-PDD'!$A$61:$I$67)</f>
        <v>33.799999999999997</v>
      </c>
      <c r="H57" s="167">
        <f>inter($B57,H$52,'[3]Clin-PDD'!$A$61:$I$67)</f>
        <v>35.700000000000003</v>
      </c>
      <c r="I57" s="167">
        <f>inter($B57,I$52,'[3]Clin-PDD'!$A$61:$I$67)</f>
        <v>37.1</v>
      </c>
      <c r="J57" s="168">
        <f>inter($B57,J$52,'[3]Clin-PDD'!$A$61:$I$67)</f>
        <v>39.299999999999997</v>
      </c>
    </row>
    <row r="58" spans="1:12" x14ac:dyDescent="0.25">
      <c r="A58" s="229"/>
      <c r="B58" s="170">
        <v>4</v>
      </c>
      <c r="C58" s="171">
        <f>inter($B58,C$52,'[3]Clin-PDD'!$A$61:$I$67)</f>
        <v>12.901003399</v>
      </c>
      <c r="D58" s="172">
        <f>inter($B58,D$52,'[3]Clin-PDD'!$A$61:$I$67)</f>
        <v>16.3</v>
      </c>
      <c r="E58" s="172">
        <f>inter($B58,E$52,'[3]Clin-PDD'!$A$61:$I$67)</f>
        <v>19.3</v>
      </c>
      <c r="F58" s="172">
        <f>inter($B58,F$52,'[3]Clin-PDD'!$A$61:$I$67)</f>
        <v>21.6</v>
      </c>
      <c r="G58" s="172">
        <f>inter($B58,G$52,'[3]Clin-PDD'!$A$61:$I$67)</f>
        <v>23.3</v>
      </c>
      <c r="H58" s="172">
        <f>inter($B58,H$52,'[3]Clin-PDD'!$A$61:$I$67)</f>
        <v>24.9</v>
      </c>
      <c r="I58" s="172">
        <f>inter($B58,I$52,'[3]Clin-PDD'!$A$61:$I$67)</f>
        <v>26.2</v>
      </c>
      <c r="J58" s="173">
        <f>inter($B58,J$52,'[3]Clin-PDD'!$A$61:$I$67)</f>
        <v>28.3</v>
      </c>
    </row>
    <row r="59" spans="1:12" x14ac:dyDescent="0.25">
      <c r="A59" s="3"/>
      <c r="B59" s="5"/>
      <c r="C59" s="5"/>
      <c r="D59" s="5"/>
      <c r="E59" s="5"/>
      <c r="F59" s="5"/>
      <c r="G59" s="5"/>
      <c r="H59" s="5"/>
      <c r="I59" s="5"/>
      <c r="J59" s="5"/>
    </row>
    <row r="60" spans="1:12" ht="18" x14ac:dyDescent="0.25">
      <c r="A60" s="178" t="s">
        <v>9</v>
      </c>
      <c r="B60" s="180">
        <v>25</v>
      </c>
      <c r="C60" s="181" t="s">
        <v>2</v>
      </c>
      <c r="D60" s="3"/>
      <c r="E60" s="3"/>
      <c r="F60" s="3"/>
    </row>
    <row r="61" spans="1:12" x14ac:dyDescent="0.25">
      <c r="A61" s="3"/>
      <c r="B61" s="3"/>
      <c r="C61" s="228" t="s">
        <v>70</v>
      </c>
      <c r="D61" s="228"/>
      <c r="E61" s="228"/>
      <c r="F61" s="228"/>
      <c r="G61" s="228"/>
      <c r="H61" s="228"/>
      <c r="I61" s="228"/>
      <c r="J61" s="228"/>
      <c r="K61" s="119"/>
    </row>
    <row r="62" spans="1:12" x14ac:dyDescent="0.25">
      <c r="A62" s="3"/>
      <c r="B62" s="5"/>
      <c r="C62" s="162">
        <v>9.9999999999999995E-7</v>
      </c>
      <c r="D62" s="163">
        <f>'[3]Clin-PDD'!C$46</f>
        <v>1</v>
      </c>
      <c r="E62" s="163">
        <f>'[3]Clin-PDD'!D$46</f>
        <v>2</v>
      </c>
      <c r="F62" s="163">
        <f>'[3]Clin-PDD'!E$46</f>
        <v>3</v>
      </c>
      <c r="G62" s="163">
        <f>'[3]Clin-PDD'!F$46</f>
        <v>4</v>
      </c>
      <c r="H62" s="163">
        <f>'[3]Clin-PDD'!G$46</f>
        <v>5</v>
      </c>
      <c r="I62" s="163">
        <f>'[3]Clin-PDD'!H$46</f>
        <v>6</v>
      </c>
      <c r="J62" s="163">
        <f>'[3]Clin-PDD'!I$46</f>
        <v>10</v>
      </c>
      <c r="K62" s="164">
        <f>'[3]Clin-PDD'!J$46</f>
        <v>15</v>
      </c>
    </row>
    <row r="63" spans="1:12" x14ac:dyDescent="0.25">
      <c r="A63" s="229" t="s">
        <v>69</v>
      </c>
      <c r="B63" s="165">
        <v>0</v>
      </c>
      <c r="C63" s="174">
        <v>100</v>
      </c>
      <c r="D63" s="175">
        <v>100</v>
      </c>
      <c r="E63" s="175">
        <v>100</v>
      </c>
      <c r="F63" s="175">
        <v>100</v>
      </c>
      <c r="G63" s="175">
        <v>100</v>
      </c>
      <c r="H63" s="175">
        <v>100</v>
      </c>
      <c r="I63" s="175">
        <v>100</v>
      </c>
      <c r="J63" s="175">
        <v>100</v>
      </c>
      <c r="K63" s="176">
        <v>100</v>
      </c>
    </row>
    <row r="64" spans="1:12" x14ac:dyDescent="0.25">
      <c r="A64" s="229"/>
      <c r="B64" s="169">
        <v>0.5</v>
      </c>
      <c r="C64" s="166">
        <f>inter($B64,C$62,'[3]Clin-PDD'!$A$73:$J$79)</f>
        <v>73.359004341000002</v>
      </c>
      <c r="D64" s="167">
        <f>inter($B64,D$62,'[3]Clin-PDD'!$A$73:$J$79)</f>
        <v>77.7</v>
      </c>
      <c r="E64" s="167">
        <f>inter($B64,E$62,'[3]Clin-PDD'!$A$73:$J$79)</f>
        <v>81.3</v>
      </c>
      <c r="F64" s="167">
        <f>inter($B64,F$62,'[3]Clin-PDD'!$A$73:$J$79)</f>
        <v>83.8</v>
      </c>
      <c r="G64" s="167">
        <f>inter($B64,G$62,'[3]Clin-PDD'!$A$73:$J$79)</f>
        <v>85.4</v>
      </c>
      <c r="H64" s="167">
        <f>inter($B64,H$62,'[3]Clin-PDD'!$A$73:$J$79)</f>
        <v>86.5</v>
      </c>
      <c r="I64" s="167">
        <f>inter($B64,I$62,'[3]Clin-PDD'!$A$73:$J$79)</f>
        <v>87.3</v>
      </c>
      <c r="J64" s="167">
        <f>inter($B64,J$62,'[3]Clin-PDD'!$A$73:$J$79)</f>
        <v>89</v>
      </c>
      <c r="K64" s="168">
        <f>inter($B64,K$62,'[3]Clin-PDD'!$A$73:$J$79)</f>
        <v>90.3</v>
      </c>
    </row>
    <row r="65" spans="1:12" x14ac:dyDescent="0.25">
      <c r="A65" s="229"/>
      <c r="B65" s="169">
        <v>1</v>
      </c>
      <c r="C65" s="166">
        <f>inter($B65,C$62,'[3]Clin-PDD'!$A$73:$J$79)</f>
        <v>54.978006521999994</v>
      </c>
      <c r="D65" s="167">
        <f>inter($B65,D$62,'[3]Clin-PDD'!$A$73:$J$79)</f>
        <v>61.5</v>
      </c>
      <c r="E65" s="167">
        <f>inter($B65,E$62,'[3]Clin-PDD'!$A$73:$J$79)</f>
        <v>66.900000000000006</v>
      </c>
      <c r="F65" s="167">
        <f>inter($B65,F$62,'[3]Clin-PDD'!$A$73:$J$79)</f>
        <v>70.7</v>
      </c>
      <c r="G65" s="167">
        <f>inter($B65,G$62,'[3]Clin-PDD'!$A$73:$J$79)</f>
        <v>73.099999999999994</v>
      </c>
      <c r="H65" s="167">
        <f>inter($B65,H$62,'[3]Clin-PDD'!$A$73:$J$79)</f>
        <v>74.8</v>
      </c>
      <c r="I65" s="167">
        <f>inter($B65,I$62,'[3]Clin-PDD'!$A$73:$J$79)</f>
        <v>76</v>
      </c>
      <c r="J65" s="167">
        <f>inter($B65,J$62,'[3]Clin-PDD'!$A$73:$J$79)</f>
        <v>79</v>
      </c>
      <c r="K65" s="168">
        <f>inter($B65,K$62,'[3]Clin-PDD'!$A$73:$J$79)</f>
        <v>80.599999999999994</v>
      </c>
    </row>
    <row r="66" spans="1:12" x14ac:dyDescent="0.25">
      <c r="A66" s="229"/>
      <c r="B66" s="169">
        <v>2</v>
      </c>
      <c r="C66" s="166">
        <f>inter($B66,C$62,'[3]Clin-PDD'!$A$73:$J$79)</f>
        <v>34.047006452999995</v>
      </c>
      <c r="D66" s="167">
        <f>inter($B66,D$62,'[3]Clin-PDD'!$A$73:$J$79)</f>
        <v>40.5</v>
      </c>
      <c r="E66" s="167">
        <f>inter($B66,E$62,'[3]Clin-PDD'!$A$73:$J$79)</f>
        <v>45.9</v>
      </c>
      <c r="F66" s="167">
        <f>inter($B66,F$62,'[3]Clin-PDD'!$A$73:$J$79)</f>
        <v>50.3</v>
      </c>
      <c r="G66" s="167">
        <f>inter($B66,G$62,'[3]Clin-PDD'!$A$73:$J$79)</f>
        <v>53.2</v>
      </c>
      <c r="H66" s="167">
        <f>inter($B66,H$62,'[3]Clin-PDD'!$A$73:$J$79)</f>
        <v>55.2</v>
      </c>
      <c r="I66" s="167">
        <f>inter($B66,I$62,'[3]Clin-PDD'!$A$73:$J$79)</f>
        <v>56.7</v>
      </c>
      <c r="J66" s="167">
        <f>inter($B66,J$62,'[3]Clin-PDD'!$A$73:$J$79)</f>
        <v>60</v>
      </c>
      <c r="K66" s="168">
        <f>inter($B66,K$62,'[3]Clin-PDD'!$A$73:$J$79)</f>
        <v>61.9</v>
      </c>
    </row>
    <row r="67" spans="1:12" x14ac:dyDescent="0.25">
      <c r="A67" s="229"/>
      <c r="B67" s="169">
        <v>3</v>
      </c>
      <c r="C67" s="166">
        <f>inter($B67,C$62,'[3]Clin-PDD'!$A$73:$J$79)</f>
        <v>23.183004716999996</v>
      </c>
      <c r="D67" s="167">
        <f>inter($B67,D$62,'[3]Clin-PDD'!$A$73:$J$79)</f>
        <v>27.9</v>
      </c>
      <c r="E67" s="167">
        <f>inter($B67,E$62,'[3]Clin-PDD'!$A$73:$J$79)</f>
        <v>31.9</v>
      </c>
      <c r="F67" s="167">
        <f>inter($B67,F$62,'[3]Clin-PDD'!$A$73:$J$79)</f>
        <v>35.299999999999997</v>
      </c>
      <c r="G67" s="167">
        <f>inter($B67,G$62,'[3]Clin-PDD'!$A$73:$J$79)</f>
        <v>38</v>
      </c>
      <c r="H67" s="167">
        <f>inter($B67,H$62,'[3]Clin-PDD'!$A$73:$J$79)</f>
        <v>40</v>
      </c>
      <c r="I67" s="167">
        <f>inter($B67,I$62,'[3]Clin-PDD'!$A$73:$J$79)</f>
        <v>41.5</v>
      </c>
      <c r="J67" s="167">
        <f>inter($B67,J$62,'[3]Clin-PDD'!$A$73:$J$79)</f>
        <v>45.2</v>
      </c>
      <c r="K67" s="168">
        <f>inter($B67,K$62,'[3]Clin-PDD'!$A$73:$J$79)</f>
        <v>47.6</v>
      </c>
    </row>
    <row r="68" spans="1:12" x14ac:dyDescent="0.25">
      <c r="A68" s="229"/>
      <c r="B68" s="170">
        <v>4</v>
      </c>
      <c r="C68" s="171">
        <f>inter($B68,C$62,'[3]Clin-PDD'!$A$73:$J$79)</f>
        <v>15.648003852</v>
      </c>
      <c r="D68" s="172">
        <f>inter($B68,D$62,'[3]Clin-PDD'!$A$73:$J$79)</f>
        <v>19.5</v>
      </c>
      <c r="E68" s="172">
        <f>inter($B68,E$62,'[3]Clin-PDD'!$A$73:$J$79)</f>
        <v>22.7</v>
      </c>
      <c r="F68" s="172">
        <f>inter($B68,F$62,'[3]Clin-PDD'!$A$73:$J$79)</f>
        <v>25.3</v>
      </c>
      <c r="G68" s="172">
        <f>inter($B68,G$62,'[3]Clin-PDD'!$A$73:$J$79)</f>
        <v>27.2</v>
      </c>
      <c r="H68" s="172">
        <f>inter($B68,H$62,'[3]Clin-PDD'!$A$73:$J$79)</f>
        <v>28.8</v>
      </c>
      <c r="I68" s="172">
        <f>inter($B68,I$62,'[3]Clin-PDD'!$A$73:$J$79)</f>
        <v>30.1</v>
      </c>
      <c r="J68" s="172">
        <f>inter($B68,J$62,'[3]Clin-PDD'!$A$73:$J$79)</f>
        <v>34</v>
      </c>
      <c r="K68" s="173">
        <f>inter($B68,K$62,'[3]Clin-PDD'!$A$73:$J$79)</f>
        <v>37.1</v>
      </c>
    </row>
    <row r="71" spans="1:12" x14ac:dyDescent="0.25">
      <c r="A71" s="236" t="s">
        <v>132</v>
      </c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8"/>
    </row>
    <row r="72" spans="1:12" ht="18" x14ac:dyDescent="0.25">
      <c r="A72" s="177" t="s">
        <v>9</v>
      </c>
      <c r="B72" s="182">
        <v>15</v>
      </c>
      <c r="C72" s="179" t="s">
        <v>2</v>
      </c>
      <c r="D72" s="3"/>
      <c r="E72" s="3"/>
      <c r="F72" s="3"/>
    </row>
    <row r="73" spans="1:12" x14ac:dyDescent="0.25">
      <c r="A73" s="3"/>
      <c r="B73" s="3"/>
      <c r="C73" s="228" t="s">
        <v>70</v>
      </c>
      <c r="D73" s="228"/>
      <c r="E73" s="228"/>
      <c r="F73" s="228"/>
      <c r="G73" s="228"/>
      <c r="H73" s="228"/>
      <c r="I73" s="228"/>
      <c r="J73" s="228"/>
    </row>
    <row r="74" spans="1:12" x14ac:dyDescent="0.25">
      <c r="A74" s="3"/>
      <c r="B74" s="5"/>
      <c r="C74" s="162">
        <v>9.9999999999999995E-7</v>
      </c>
      <c r="D74" s="163">
        <f>'[3]Clin-PDD'!C$88</f>
        <v>1</v>
      </c>
      <c r="E74" s="163">
        <f>'[3]Clin-PDD'!D$88</f>
        <v>2</v>
      </c>
      <c r="F74" s="163">
        <f>'[3]Clin-PDD'!E$88</f>
        <v>3</v>
      </c>
      <c r="G74" s="163">
        <f>'[3]Clin-PDD'!F$88</f>
        <v>4</v>
      </c>
      <c r="H74" s="163">
        <f>'[3]Clin-PDD'!G$88</f>
        <v>5</v>
      </c>
      <c r="I74" s="163">
        <f>'[3]Clin-PDD'!H$88</f>
        <v>6</v>
      </c>
      <c r="J74" s="164">
        <f>'[3]Clin-PDD'!I$88</f>
        <v>8</v>
      </c>
      <c r="K74" s="5"/>
    </row>
    <row r="75" spans="1:12" x14ac:dyDescent="0.25">
      <c r="A75" s="229" t="s">
        <v>69</v>
      </c>
      <c r="B75" s="165">
        <v>0</v>
      </c>
      <c r="C75" s="174">
        <v>100</v>
      </c>
      <c r="D75" s="175">
        <v>100</v>
      </c>
      <c r="E75" s="175">
        <v>100</v>
      </c>
      <c r="F75" s="175">
        <v>100</v>
      </c>
      <c r="G75" s="175">
        <v>100</v>
      </c>
      <c r="H75" s="175">
        <v>100</v>
      </c>
      <c r="I75" s="175">
        <v>100</v>
      </c>
      <c r="J75" s="176">
        <v>100</v>
      </c>
    </row>
    <row r="76" spans="1:12" x14ac:dyDescent="0.25">
      <c r="A76" s="229"/>
      <c r="B76" s="169">
        <v>0.5</v>
      </c>
      <c r="C76" s="166">
        <f>inter($B76,C$74,'[3]Clin-PDD'!$A$88:$I$94)</f>
        <v>73.75104422295999</v>
      </c>
      <c r="D76" s="167">
        <f>inter($B76,D$74,'[3]Clin-PDD'!$A$88:$I$94)</f>
        <v>77.974000000000004</v>
      </c>
      <c r="E76" s="167">
        <f>inter($B76,E$74,'[3]Clin-PDD'!$A$88:$I$94)</f>
        <v>81.451999999999998</v>
      </c>
      <c r="F76" s="167">
        <f>inter($B76,F$74,'[3]Clin-PDD'!$A$88:$I$94)</f>
        <v>84.013000000000005</v>
      </c>
      <c r="G76" s="167">
        <f>inter($B76,G$74,'[3]Clin-PDD'!$A$88:$I$94)</f>
        <v>85.613</v>
      </c>
      <c r="H76" s="167">
        <f>inter($B76,H$74,'[3]Clin-PDD'!$A$88:$I$94)</f>
        <v>86.712999999999994</v>
      </c>
      <c r="I76" s="167">
        <f>inter($B76,I$74,'[3]Clin-PDD'!$A$88:$I$94)</f>
        <v>87.491</v>
      </c>
      <c r="J76" s="168">
        <f>inter($B76,J$74,'[3]Clin-PDD'!$A$88:$I$94)</f>
        <v>88.468999999999994</v>
      </c>
    </row>
    <row r="77" spans="1:12" x14ac:dyDescent="0.25">
      <c r="A77" s="229"/>
      <c r="B77" s="169">
        <v>1</v>
      </c>
      <c r="C77" s="166">
        <f>inter($B77,C$74,'[3]Clin-PDD'!$A$88:$I$94)</f>
        <v>55.275926279079989</v>
      </c>
      <c r="D77" s="167">
        <f>inter($B77,D$74,'[3]Clin-PDD'!$A$88:$I$94)</f>
        <v>61.555</v>
      </c>
      <c r="E77" s="167">
        <f>inter($B77,E$74,'[3]Clin-PDD'!$A$88:$I$94)</f>
        <v>66.706000000000003</v>
      </c>
      <c r="F77" s="167">
        <f>inter($B77,F$74,'[3]Clin-PDD'!$A$88:$I$94)</f>
        <v>70.539999999999992</v>
      </c>
      <c r="G77" s="167">
        <f>inter($B77,G$74,'[3]Clin-PDD'!$A$88:$I$94)</f>
        <v>72.94</v>
      </c>
      <c r="H77" s="167">
        <f>inter($B77,H$74,'[3]Clin-PDD'!$A$88:$I$94)</f>
        <v>74.500999999999991</v>
      </c>
      <c r="I77" s="167">
        <f>inter($B77,I$74,'[3]Clin-PDD'!$A$88:$I$94)</f>
        <v>75.700999999999993</v>
      </c>
      <c r="J77" s="168">
        <f>inter($B77,J$74,'[3]Clin-PDD'!$A$88:$I$94)</f>
        <v>77.34</v>
      </c>
    </row>
    <row r="78" spans="1:12" x14ac:dyDescent="0.25">
      <c r="A78" s="229"/>
      <c r="B78" s="169">
        <v>2</v>
      </c>
      <c r="C78" s="166">
        <f>inter($B78,C$74,'[3]Clin-PDD'!$A$88:$I$94)</f>
        <v>33.250636555369994</v>
      </c>
      <c r="D78" s="167">
        <f>inter($B78,D$74,'[3]Clin-PDD'!$A$88:$I$94)</f>
        <v>39.805999999999997</v>
      </c>
      <c r="E78" s="167">
        <f>inter($B78,E$74,'[3]Clin-PDD'!$A$88:$I$94)</f>
        <v>45.332999999999998</v>
      </c>
      <c r="F78" s="167">
        <f>inter($B78,F$74,'[3]Clin-PDD'!$A$88:$I$94)</f>
        <v>49.271999999999998</v>
      </c>
      <c r="G78" s="167">
        <f>inter($B78,G$74,'[3]Clin-PDD'!$A$88:$I$94)</f>
        <v>52.072000000000003</v>
      </c>
      <c r="H78" s="167">
        <f>inter($B78,H$74,'[3]Clin-PDD'!$A$88:$I$94)</f>
        <v>54.193999999999996</v>
      </c>
      <c r="I78" s="167">
        <f>inter($B78,I$74,'[3]Clin-PDD'!$A$88:$I$94)</f>
        <v>55.816000000000003</v>
      </c>
      <c r="J78" s="168">
        <f>inter($B78,J$74,'[3]Clin-PDD'!$A$88:$I$94)</f>
        <v>57.998999999999995</v>
      </c>
    </row>
    <row r="79" spans="1:12" x14ac:dyDescent="0.25">
      <c r="A79" s="229"/>
      <c r="B79" s="169">
        <v>3</v>
      </c>
      <c r="C79" s="166">
        <f>inter($B79,C$74,'[3]Clin-PDD'!$A$88:$I$94)</f>
        <v>22.197484708519994</v>
      </c>
      <c r="D79" s="167">
        <f>inter($B79,D$74,'[3]Clin-PDD'!$A$88:$I$94)</f>
        <v>26.905999999999999</v>
      </c>
      <c r="E79" s="167">
        <f>inter($B79,E$74,'[3]Clin-PDD'!$A$88:$I$94)</f>
        <v>30.927999999999997</v>
      </c>
      <c r="F79" s="167">
        <f>inter($B79,F$74,'[3]Clin-PDD'!$A$88:$I$94)</f>
        <v>34.427999999999997</v>
      </c>
      <c r="G79" s="167">
        <f>inter($B79,G$74,'[3]Clin-PDD'!$A$88:$I$94)</f>
        <v>36.972000000000001</v>
      </c>
      <c r="H79" s="167">
        <f>inter($B79,H$74,'[3]Clin-PDD'!$A$88:$I$94)</f>
        <v>39.055</v>
      </c>
      <c r="I79" s="167">
        <f>inter($B79,I$74,'[3]Clin-PDD'!$A$88:$I$94)</f>
        <v>40.637999999999998</v>
      </c>
      <c r="J79" s="168">
        <f>inter($B79,J$74,'[3]Clin-PDD'!$A$88:$I$94)</f>
        <v>43.021000000000001</v>
      </c>
    </row>
    <row r="80" spans="1:12" x14ac:dyDescent="0.25">
      <c r="A80" s="229"/>
      <c r="B80" s="170">
        <v>4</v>
      </c>
      <c r="C80" s="171">
        <f>inter($B80,C$74,'[3]Clin-PDD'!$A$88:$I$94)</f>
        <v>15.168963632039999</v>
      </c>
      <c r="D80" s="172">
        <f>inter($B80,D$74,'[3]Clin-PDD'!$A$88:$I$94)</f>
        <v>18.800999999999998</v>
      </c>
      <c r="E80" s="172">
        <f>inter($B80,E$74,'[3]Clin-PDD'!$A$88:$I$94)</f>
        <v>21.800999999999998</v>
      </c>
      <c r="F80" s="172">
        <f>inter($B80,F$74,'[3]Clin-PDD'!$A$88:$I$94)</f>
        <v>24.222999999999999</v>
      </c>
      <c r="G80" s="172">
        <f>inter($B80,G$74,'[3]Clin-PDD'!$A$88:$I$94)</f>
        <v>26.105999999999998</v>
      </c>
      <c r="H80" s="172">
        <f>inter($B80,H$74,'[3]Clin-PDD'!$A$88:$I$94)</f>
        <v>27.827999999999999</v>
      </c>
      <c r="I80" s="172">
        <f>inter($B80,I$74,'[3]Clin-PDD'!$A$88:$I$94)</f>
        <v>29.25</v>
      </c>
      <c r="J80" s="173">
        <f>inter($B80,J$74,'[3]Clin-PDD'!$A$88:$I$94)</f>
        <v>31.654999999999998</v>
      </c>
    </row>
    <row r="81" spans="1:12" x14ac:dyDescent="0.25">
      <c r="A81" s="3"/>
      <c r="B81" s="5"/>
      <c r="C81" s="5"/>
      <c r="D81" s="5"/>
      <c r="E81" s="5"/>
      <c r="F81" s="5"/>
      <c r="G81" s="5"/>
      <c r="H81" s="5"/>
      <c r="I81" s="5"/>
      <c r="J81" s="5"/>
    </row>
    <row r="82" spans="1:12" ht="18" x14ac:dyDescent="0.25">
      <c r="A82" s="178" t="s">
        <v>9</v>
      </c>
      <c r="B82" s="180">
        <v>25</v>
      </c>
      <c r="C82" s="181" t="s">
        <v>2</v>
      </c>
      <c r="D82" s="3"/>
      <c r="E82" s="3"/>
      <c r="F82" s="3"/>
    </row>
    <row r="83" spans="1:12" x14ac:dyDescent="0.25">
      <c r="A83" s="3"/>
      <c r="B83" s="3"/>
      <c r="C83" s="228" t="s">
        <v>70</v>
      </c>
      <c r="D83" s="228"/>
      <c r="E83" s="228"/>
      <c r="F83" s="228"/>
      <c r="G83" s="228"/>
      <c r="H83" s="228"/>
      <c r="I83" s="228"/>
      <c r="J83" s="228"/>
      <c r="K83" s="119"/>
    </row>
    <row r="84" spans="1:12" x14ac:dyDescent="0.25">
      <c r="A84" s="3"/>
      <c r="B84" s="5"/>
      <c r="C84" s="162">
        <v>9.9999999999999995E-7</v>
      </c>
      <c r="D84" s="163">
        <f>'[3]Clin-PDD'!C$100</f>
        <v>1</v>
      </c>
      <c r="E84" s="163">
        <f>'[3]Clin-PDD'!D$100</f>
        <v>2</v>
      </c>
      <c r="F84" s="163">
        <f>'[3]Clin-PDD'!E$100</f>
        <v>3</v>
      </c>
      <c r="G84" s="163">
        <f>'[3]Clin-PDD'!F$100</f>
        <v>4</v>
      </c>
      <c r="H84" s="163">
        <f>'[3]Clin-PDD'!G$100</f>
        <v>5</v>
      </c>
      <c r="I84" s="163">
        <f>'[3]Clin-PDD'!H$100</f>
        <v>6</v>
      </c>
      <c r="J84" s="163">
        <f>'[3]Clin-PDD'!I$100</f>
        <v>10</v>
      </c>
      <c r="K84" s="164">
        <f>'[3]Clin-PDD'!J$100</f>
        <v>15</v>
      </c>
    </row>
    <row r="85" spans="1:12" x14ac:dyDescent="0.25">
      <c r="A85" s="229" t="s">
        <v>69</v>
      </c>
      <c r="B85" s="165">
        <v>0</v>
      </c>
      <c r="C85" s="174">
        <v>100</v>
      </c>
      <c r="D85" s="175">
        <v>100</v>
      </c>
      <c r="E85" s="175">
        <v>100</v>
      </c>
      <c r="F85" s="175">
        <v>100</v>
      </c>
      <c r="G85" s="175">
        <v>100</v>
      </c>
      <c r="H85" s="175">
        <v>100</v>
      </c>
      <c r="I85" s="175">
        <v>100</v>
      </c>
      <c r="J85" s="175">
        <v>100</v>
      </c>
      <c r="K85" s="176">
        <v>100</v>
      </c>
    </row>
    <row r="86" spans="1:12" x14ac:dyDescent="0.25">
      <c r="A86" s="229"/>
      <c r="B86" s="169">
        <v>0.5</v>
      </c>
      <c r="C86" s="166">
        <f>inter($B86,C$84,'[3]Clin-PDD'!$A$100:$J$106)</f>
        <v>76.016164123839985</v>
      </c>
      <c r="D86" s="167">
        <f>inter($B86,D$84,'[3]Clin-PDD'!$A$100:$J$106)</f>
        <v>80.14</v>
      </c>
      <c r="E86" s="167">
        <f>inter($B86,E$84,'[3]Clin-PDD'!$A$100:$J$106)</f>
        <v>83.496000000000009</v>
      </c>
      <c r="F86" s="167">
        <f>inter($B86,F$84,'[3]Clin-PDD'!$A$100:$J$106)</f>
        <v>85.935000000000002</v>
      </c>
      <c r="G86" s="167">
        <f>inter($B86,G$84,'[3]Clin-PDD'!$A$100:$J$106)</f>
        <v>87.596000000000004</v>
      </c>
      <c r="H86" s="167">
        <f>inter($B86,H$84,'[3]Clin-PDD'!$A$100:$J$106)</f>
        <v>88.635000000000005</v>
      </c>
      <c r="I86" s="167">
        <f>inter($B86,I$84,'[3]Clin-PDD'!$A$100:$J$106)</f>
        <v>89.373999999999995</v>
      </c>
      <c r="J86" s="167">
        <f>inter($B86,J$84,'[3]Clin-PDD'!$A$100:$J$106)</f>
        <v>90.951999999999998</v>
      </c>
      <c r="K86" s="168">
        <f>inter($B86,K$84,'[3]Clin-PDD'!$A$100:$J$106)</f>
        <v>92.069000000000003</v>
      </c>
    </row>
    <row r="87" spans="1:12" x14ac:dyDescent="0.25">
      <c r="A87" s="229"/>
      <c r="B87" s="169">
        <v>1</v>
      </c>
      <c r="C87" s="166">
        <f>inter($B87,C$84,'[3]Clin-PDD'!$A$100:$J$106)</f>
        <v>58.26590646710001</v>
      </c>
      <c r="D87" s="167">
        <f>inter($B87,D$84,'[3]Clin-PDD'!$A$100:$J$106)</f>
        <v>64.733000000000004</v>
      </c>
      <c r="E87" s="167">
        <f>inter($B87,E$84,'[3]Clin-PDD'!$A$100:$J$106)</f>
        <v>70.010999999999996</v>
      </c>
      <c r="F87" s="167">
        <f>inter($B87,F$84,'[3]Clin-PDD'!$A$100:$J$106)</f>
        <v>73.872</v>
      </c>
      <c r="G87" s="167">
        <f>inter($B87,G$84,'[3]Clin-PDD'!$A$100:$J$106)</f>
        <v>76.210999999999999</v>
      </c>
      <c r="H87" s="167">
        <f>inter($B87,H$84,'[3]Clin-PDD'!$A$100:$J$106)</f>
        <v>77.849999999999994</v>
      </c>
      <c r="I87" s="167">
        <f>inter($B87,I$84,'[3]Clin-PDD'!$A$100:$J$106)</f>
        <v>79.05</v>
      </c>
      <c r="J87" s="167">
        <f>inter($B87,J$84,'[3]Clin-PDD'!$A$100:$J$106)</f>
        <v>81.927999999999997</v>
      </c>
      <c r="K87" s="168">
        <f>inter($B87,K$84,'[3]Clin-PDD'!$A$100:$J$106)</f>
        <v>83.710999999999999</v>
      </c>
    </row>
    <row r="88" spans="1:12" x14ac:dyDescent="0.25">
      <c r="A88" s="229"/>
      <c r="B88" s="169">
        <v>2</v>
      </c>
      <c r="C88" s="166">
        <f>inter($B88,C$84,'[3]Clin-PDD'!$A$100:$J$106)</f>
        <v>37.478866559139988</v>
      </c>
      <c r="D88" s="167">
        <f>inter($B88,D$84,'[3]Clin-PDD'!$A$100:$J$106)</f>
        <v>44.037999999999997</v>
      </c>
      <c r="E88" s="167">
        <f>inter($B88,E$84,'[3]Clin-PDD'!$A$100:$J$106)</f>
        <v>49.438000000000002</v>
      </c>
      <c r="F88" s="167">
        <f>inter($B88,F$84,'[3]Clin-PDD'!$A$100:$J$106)</f>
        <v>53.959999999999994</v>
      </c>
      <c r="G88" s="167">
        <f>inter($B88,G$84,'[3]Clin-PDD'!$A$100:$J$106)</f>
        <v>56.920999999999999</v>
      </c>
      <c r="H88" s="167">
        <f>inter($B88,H$84,'[3]Clin-PDD'!$A$100:$J$106)</f>
        <v>59.103999999999999</v>
      </c>
      <c r="I88" s="167">
        <f>inter($B88,I$84,'[3]Clin-PDD'!$A$100:$J$106)</f>
        <v>60.786999999999999</v>
      </c>
      <c r="J88" s="167">
        <f>inter($B88,J$84,'[3]Clin-PDD'!$A$100:$J$106)</f>
        <v>64.51400000000001</v>
      </c>
      <c r="K88" s="168">
        <f>inter($B88,K$84,'[3]Clin-PDD'!$A$100:$J$106)</f>
        <v>66.902000000000001</v>
      </c>
    </row>
    <row r="89" spans="1:12" x14ac:dyDescent="0.25">
      <c r="A89" s="229"/>
      <c r="B89" s="169">
        <v>3</v>
      </c>
      <c r="C89" s="166">
        <f>inter($B89,C$84,'[3]Clin-PDD'!$A$100:$J$106)</f>
        <v>25.786485102519997</v>
      </c>
      <c r="D89" s="167">
        <f>inter($B89,D$84,'[3]Clin-PDD'!$A$100:$J$106)</f>
        <v>30.888999999999996</v>
      </c>
      <c r="E89" s="167">
        <f>inter($B89,E$84,'[3]Clin-PDD'!$A$100:$J$106)</f>
        <v>35.193999999999996</v>
      </c>
      <c r="F89" s="167">
        <f>inter($B89,F$84,'[3]Clin-PDD'!$A$100:$J$106)</f>
        <v>39.021000000000001</v>
      </c>
      <c r="G89" s="167">
        <f>inter($B89,G$84,'[3]Clin-PDD'!$A$100:$J$106)</f>
        <v>41.903999999999996</v>
      </c>
      <c r="H89" s="167">
        <f>inter($B89,H$84,'[3]Clin-PDD'!$A$100:$J$106)</f>
        <v>44.087000000000003</v>
      </c>
      <c r="I89" s="167">
        <f>inter($B89,I$84,'[3]Clin-PDD'!$A$100:$J$106)</f>
        <v>45.831000000000003</v>
      </c>
      <c r="J89" s="167">
        <f>inter($B89,J$84,'[3]Clin-PDD'!$A$100:$J$106)</f>
        <v>50.262999999999998</v>
      </c>
      <c r="K89" s="168">
        <f>inter($B89,K$84,'[3]Clin-PDD'!$A$100:$J$106)</f>
        <v>53.09</v>
      </c>
    </row>
    <row r="90" spans="1:12" x14ac:dyDescent="0.25">
      <c r="A90" s="229"/>
      <c r="B90" s="170">
        <v>4</v>
      </c>
      <c r="C90" s="171">
        <f>inter($B90,C$84,'[3]Clin-PDD'!$A$100:$J$106)</f>
        <v>18.107524259480002</v>
      </c>
      <c r="D90" s="172">
        <f>inter($B90,D$84,'[3]Clin-PDD'!$A$100:$J$106)</f>
        <v>22.367000000000001</v>
      </c>
      <c r="E90" s="172">
        <f>inter($B90,E$84,'[3]Clin-PDD'!$A$100:$J$106)</f>
        <v>25.872</v>
      </c>
      <c r="F90" s="172">
        <f>inter($B90,F$84,'[3]Clin-PDD'!$A$100:$J$106)</f>
        <v>28.594000000000001</v>
      </c>
      <c r="G90" s="172">
        <f>inter($B90,G$84,'[3]Clin-PDD'!$A$100:$J$106)</f>
        <v>30.798999999999999</v>
      </c>
      <c r="H90" s="172">
        <f>inter($B90,H$84,'[3]Clin-PDD'!$A$100:$J$106)</f>
        <v>32.704000000000001</v>
      </c>
      <c r="I90" s="172">
        <f>inter($B90,I$84,'[3]Clin-PDD'!$A$100:$J$106)</f>
        <v>34.247999999999998</v>
      </c>
      <c r="J90" s="172">
        <f>inter($B90,J$84,'[3]Clin-PDD'!$A$100:$J$106)</f>
        <v>38.819000000000003</v>
      </c>
      <c r="K90" s="173">
        <f>inter($B90,K$84,'[3]Clin-PDD'!$A$100:$J$106)</f>
        <v>41.980000000000004</v>
      </c>
    </row>
    <row r="93" spans="1:12" x14ac:dyDescent="0.25">
      <c r="A93" s="239" t="s">
        <v>133</v>
      </c>
      <c r="B93" s="240"/>
      <c r="C93" s="240"/>
      <c r="D93" s="240"/>
      <c r="E93" s="240"/>
      <c r="F93" s="240"/>
      <c r="G93" s="240"/>
      <c r="H93" s="240"/>
      <c r="I93" s="240"/>
      <c r="J93" s="240"/>
      <c r="K93" s="240"/>
      <c r="L93" s="241"/>
    </row>
    <row r="94" spans="1:12" ht="18" x14ac:dyDescent="0.25">
      <c r="A94" s="177" t="s">
        <v>9</v>
      </c>
      <c r="B94" s="182">
        <v>15</v>
      </c>
      <c r="C94" s="179" t="s">
        <v>2</v>
      </c>
      <c r="D94" s="3"/>
      <c r="E94" s="3"/>
      <c r="F94" s="3"/>
    </row>
    <row r="95" spans="1:12" x14ac:dyDescent="0.25">
      <c r="A95" s="3"/>
      <c r="B95" s="3"/>
      <c r="C95" s="228" t="s">
        <v>70</v>
      </c>
      <c r="D95" s="228"/>
      <c r="E95" s="228"/>
      <c r="F95" s="228"/>
      <c r="G95" s="228"/>
      <c r="H95" s="228"/>
      <c r="I95" s="228"/>
      <c r="J95" s="228"/>
    </row>
    <row r="96" spans="1:12" x14ac:dyDescent="0.25">
      <c r="A96" s="3"/>
      <c r="B96" s="5"/>
      <c r="C96" s="162">
        <v>9.9999999999999995E-7</v>
      </c>
      <c r="D96" s="163">
        <f>'[3]Clin-PDD'!C$115</f>
        <v>1</v>
      </c>
      <c r="E96" s="163">
        <f>'[3]Clin-PDD'!D$115</f>
        <v>2</v>
      </c>
      <c r="F96" s="163">
        <f>'[3]Clin-PDD'!E$115</f>
        <v>3</v>
      </c>
      <c r="G96" s="163">
        <f>'[3]Clin-PDD'!F$115</f>
        <v>4</v>
      </c>
      <c r="H96" s="163">
        <f>'[3]Clin-PDD'!G$115</f>
        <v>5</v>
      </c>
      <c r="I96" s="163">
        <f>'[3]Clin-PDD'!H$115</f>
        <v>6</v>
      </c>
      <c r="J96" s="164">
        <f>'[3]Clin-PDD'!I$115</f>
        <v>8</v>
      </c>
      <c r="K96" s="5"/>
    </row>
    <row r="97" spans="1:11" x14ac:dyDescent="0.25">
      <c r="A97" s="229" t="s">
        <v>69</v>
      </c>
      <c r="B97" s="165">
        <v>0</v>
      </c>
      <c r="C97" s="174">
        <v>100</v>
      </c>
      <c r="D97" s="175">
        <v>100</v>
      </c>
      <c r="E97" s="175">
        <v>100</v>
      </c>
      <c r="F97" s="175">
        <v>100</v>
      </c>
      <c r="G97" s="175">
        <v>100</v>
      </c>
      <c r="H97" s="175">
        <v>100</v>
      </c>
      <c r="I97" s="175">
        <v>100</v>
      </c>
      <c r="J97" s="176">
        <v>100</v>
      </c>
    </row>
    <row r="98" spans="1:11" x14ac:dyDescent="0.25">
      <c r="A98" s="229"/>
      <c r="B98" s="169">
        <v>0.5</v>
      </c>
      <c r="C98" s="166">
        <f>inter($B98,C$96,'[3]Clin-PDD'!$A$115:$I$121)</f>
        <v>77.715003884999987</v>
      </c>
      <c r="D98" s="167">
        <f>inter($B98,D$96,'[3]Clin-PDD'!$A$115:$I$121)</f>
        <v>81.599999999999994</v>
      </c>
      <c r="E98" s="167">
        <f>inter($B98,E$96,'[3]Clin-PDD'!$A$115:$I$121)</f>
        <v>84.7</v>
      </c>
      <c r="F98" s="167">
        <f>inter($B98,F$96,'[3]Clin-PDD'!$A$115:$I$121)</f>
        <v>86.9</v>
      </c>
      <c r="G98" s="167">
        <f>inter($B98,G$96,'[3]Clin-PDD'!$A$115:$I$121)</f>
        <v>88.3</v>
      </c>
      <c r="H98" s="167">
        <f>inter($B98,H$96,'[3]Clin-PDD'!$A$115:$I$121)</f>
        <v>89.3</v>
      </c>
      <c r="I98" s="167">
        <f>inter($B98,I$96,'[3]Clin-PDD'!$A$115:$I$121)</f>
        <v>90</v>
      </c>
      <c r="J98" s="168">
        <f>inter($B98,J$96,'[3]Clin-PDD'!$A$115:$I$121)</f>
        <v>90.9</v>
      </c>
    </row>
    <row r="99" spans="1:11" x14ac:dyDescent="0.25">
      <c r="A99" s="229"/>
      <c r="B99" s="169">
        <v>1</v>
      </c>
      <c r="C99" s="166">
        <f>inter($B99,C$96,'[3]Clin-PDD'!$A$115:$I$121)</f>
        <v>61.936005564000006</v>
      </c>
      <c r="D99" s="167">
        <f>inter($B99,D$96,'[3]Clin-PDD'!$A$115:$I$121)</f>
        <v>67.5</v>
      </c>
      <c r="E99" s="167">
        <f>inter($B99,E$96,'[3]Clin-PDD'!$A$115:$I$121)</f>
        <v>71.8</v>
      </c>
      <c r="F99" s="167">
        <f>inter($B99,F$96,'[3]Clin-PDD'!$A$115:$I$121)</f>
        <v>74.900000000000006</v>
      </c>
      <c r="G99" s="167">
        <f>inter($B99,G$96,'[3]Clin-PDD'!$A$115:$I$121)</f>
        <v>77.099999999999994</v>
      </c>
      <c r="H99" s="167">
        <f>inter($B99,H$96,'[3]Clin-PDD'!$A$115:$I$121)</f>
        <v>78.7</v>
      </c>
      <c r="I99" s="167">
        <f>inter($B99,I$96,'[3]Clin-PDD'!$A$115:$I$121)</f>
        <v>79.8</v>
      </c>
      <c r="J99" s="168">
        <f>inter($B99,J$96,'[3]Clin-PDD'!$A$115:$I$121)</f>
        <v>81.400000000000006</v>
      </c>
    </row>
    <row r="100" spans="1:11" x14ac:dyDescent="0.25">
      <c r="A100" s="229"/>
      <c r="B100" s="169">
        <v>2</v>
      </c>
      <c r="C100" s="166">
        <f>inter($B100,C$96,'[3]Clin-PDD'!$A$115:$I$121)</f>
        <v>40.072505727499994</v>
      </c>
      <c r="D100" s="167">
        <f>inter($B100,D$96,'[3]Clin-PDD'!$A$115:$I$121)</f>
        <v>45.8</v>
      </c>
      <c r="E100" s="167">
        <f>inter($B100,E$96,'[3]Clin-PDD'!$A$115:$I$121)</f>
        <v>50.5</v>
      </c>
      <c r="F100" s="167">
        <f>inter($B100,F$96,'[3]Clin-PDD'!$A$115:$I$121)</f>
        <v>54.4</v>
      </c>
      <c r="G100" s="167">
        <f>inter($B100,G$96,'[3]Clin-PDD'!$A$115:$I$121)</f>
        <v>57.3</v>
      </c>
      <c r="H100" s="167">
        <f>inter($B100,H$96,'[3]Clin-PDD'!$A$115:$I$121)</f>
        <v>59.4</v>
      </c>
      <c r="I100" s="167">
        <f>inter($B100,I$96,'[3]Clin-PDD'!$A$115:$I$121)</f>
        <v>61.1</v>
      </c>
      <c r="J100" s="168">
        <f>inter($B100,J$96,'[3]Clin-PDD'!$A$115:$I$121)</f>
        <v>63.6</v>
      </c>
    </row>
    <row r="101" spans="1:11" x14ac:dyDescent="0.25">
      <c r="A101" s="229"/>
      <c r="B101" s="169">
        <v>3</v>
      </c>
      <c r="C101" s="166">
        <f>inter($B101,C$96,'[3]Clin-PDD'!$A$115:$I$121)</f>
        <v>24.192005808000001</v>
      </c>
      <c r="D101" s="167">
        <f>inter($B101,D$96,'[3]Clin-PDD'!$A$115:$I$121)</f>
        <v>30</v>
      </c>
      <c r="E101" s="167">
        <f>inter($B101,E$96,'[3]Clin-PDD'!$A$115:$I$121)</f>
        <v>34.799999999999997</v>
      </c>
      <c r="F101" s="167">
        <f>inter($B101,F$96,'[3]Clin-PDD'!$A$115:$I$121)</f>
        <v>39.299999999999997</v>
      </c>
      <c r="G101" s="167">
        <f>inter($B101,G$96,'[3]Clin-PDD'!$A$115:$I$121)</f>
        <v>42</v>
      </c>
      <c r="H101" s="167">
        <f>inter($B101,H$96,'[3]Clin-PDD'!$A$115:$I$121)</f>
        <v>44.1</v>
      </c>
      <c r="I101" s="167">
        <f>inter($B101,I$96,'[3]Clin-PDD'!$A$115:$I$121)</f>
        <v>46</v>
      </c>
      <c r="J101" s="168">
        <f>inter($B101,J$96,'[3]Clin-PDD'!$A$115:$I$121)</f>
        <v>49.1</v>
      </c>
    </row>
    <row r="102" spans="1:11" x14ac:dyDescent="0.25">
      <c r="A102" s="229"/>
      <c r="B102" s="170">
        <v>4</v>
      </c>
      <c r="C102" s="171">
        <f>inter($B102,C$96,'[3]Clin-PDD'!$A$115:$I$121)</f>
        <v>17.568004432000002</v>
      </c>
      <c r="D102" s="172">
        <f>inter($B102,D$96,'[3]Clin-PDD'!$A$115:$I$121)</f>
        <v>22</v>
      </c>
      <c r="E102" s="172">
        <f>inter($B102,E$96,'[3]Clin-PDD'!$A$115:$I$121)</f>
        <v>25.7</v>
      </c>
      <c r="F102" s="172">
        <f>inter($B102,F$96,'[3]Clin-PDD'!$A$115:$I$121)</f>
        <v>28.7</v>
      </c>
      <c r="G102" s="172">
        <f>inter($B102,G$96,'[3]Clin-PDD'!$A$115:$I$121)</f>
        <v>30.9</v>
      </c>
      <c r="H102" s="172">
        <f>inter($B102,H$96,'[3]Clin-PDD'!$A$115:$I$121)</f>
        <v>32.9</v>
      </c>
      <c r="I102" s="172">
        <f>inter($B102,I$96,'[3]Clin-PDD'!$A$115:$I$121)</f>
        <v>34.700000000000003</v>
      </c>
      <c r="J102" s="173">
        <f>inter($B102,J$96,'[3]Clin-PDD'!$A$115:$I$121)</f>
        <v>37.6</v>
      </c>
    </row>
    <row r="103" spans="1:11" x14ac:dyDescent="0.25">
      <c r="A103" s="3"/>
      <c r="B103" s="5"/>
      <c r="C103" s="5"/>
      <c r="D103" s="5"/>
      <c r="E103" s="5"/>
      <c r="F103" s="5"/>
      <c r="G103" s="5"/>
      <c r="H103" s="5"/>
      <c r="I103" s="5"/>
      <c r="J103" s="5"/>
    </row>
    <row r="104" spans="1:11" ht="18" x14ac:dyDescent="0.25">
      <c r="A104" s="178" t="s">
        <v>9</v>
      </c>
      <c r="B104" s="180">
        <v>25</v>
      </c>
      <c r="C104" s="181" t="s">
        <v>2</v>
      </c>
      <c r="D104" s="3"/>
      <c r="E104" s="3"/>
      <c r="F104" s="3"/>
    </row>
    <row r="105" spans="1:11" x14ac:dyDescent="0.25">
      <c r="A105" s="3"/>
      <c r="B105" s="3"/>
      <c r="C105" s="228" t="s">
        <v>70</v>
      </c>
      <c r="D105" s="228"/>
      <c r="E105" s="228"/>
      <c r="F105" s="228"/>
      <c r="G105" s="228"/>
      <c r="H105" s="228"/>
      <c r="I105" s="228"/>
      <c r="J105" s="228"/>
      <c r="K105" s="119"/>
    </row>
    <row r="106" spans="1:11" x14ac:dyDescent="0.25">
      <c r="A106" s="3"/>
      <c r="B106" s="5"/>
      <c r="C106" s="162">
        <v>9.9999999999999995E-7</v>
      </c>
      <c r="D106" s="163">
        <f>'[3]Clin-PDD'!C$127</f>
        <v>1</v>
      </c>
      <c r="E106" s="163">
        <f>'[3]Clin-PDD'!D$127</f>
        <v>2</v>
      </c>
      <c r="F106" s="163">
        <f>'[3]Clin-PDD'!E$127</f>
        <v>3</v>
      </c>
      <c r="G106" s="163">
        <f>'[3]Clin-PDD'!F$127</f>
        <v>4</v>
      </c>
      <c r="H106" s="163">
        <f>'[3]Clin-PDD'!G$127</f>
        <v>5</v>
      </c>
      <c r="I106" s="163">
        <f>'[3]Clin-PDD'!H$127</f>
        <v>6</v>
      </c>
      <c r="J106" s="163">
        <f>'[3]Clin-PDD'!I$127</f>
        <v>10</v>
      </c>
      <c r="K106" s="164">
        <f>'[3]Clin-PDD'!J$127</f>
        <v>15</v>
      </c>
    </row>
    <row r="107" spans="1:11" x14ac:dyDescent="0.25">
      <c r="A107" s="229" t="s">
        <v>69</v>
      </c>
      <c r="B107" s="165">
        <v>0</v>
      </c>
      <c r="C107" s="174">
        <v>100</v>
      </c>
      <c r="D107" s="175">
        <v>100</v>
      </c>
      <c r="E107" s="175">
        <v>100</v>
      </c>
      <c r="F107" s="175">
        <v>100</v>
      </c>
      <c r="G107" s="175">
        <v>100</v>
      </c>
      <c r="H107" s="175">
        <v>100</v>
      </c>
      <c r="I107" s="175">
        <v>100</v>
      </c>
      <c r="J107" s="175">
        <v>100</v>
      </c>
      <c r="K107" s="176">
        <v>100</v>
      </c>
    </row>
    <row r="108" spans="1:11" x14ac:dyDescent="0.25">
      <c r="A108" s="229"/>
      <c r="B108" s="169">
        <v>0.5</v>
      </c>
      <c r="C108" s="166">
        <f>inter($B108,C$106,'[3]Clin-PDD'!$A$127:$J$133)</f>
        <v>79.992003908000001</v>
      </c>
      <c r="D108" s="167">
        <f>inter($B108,D$106,'[3]Clin-PDD'!$A$127:$J$133)</f>
        <v>83.9</v>
      </c>
      <c r="E108" s="167">
        <f>inter($B108,E$106,'[3]Clin-PDD'!$A$127:$J$133)</f>
        <v>87</v>
      </c>
      <c r="F108" s="167">
        <f>inter($B108,F$106,'[3]Clin-PDD'!$A$127:$J$133)</f>
        <v>89.1</v>
      </c>
      <c r="G108" s="167">
        <f>inter($B108,G$106,'[3]Clin-PDD'!$A$127:$J$133)</f>
        <v>90.4</v>
      </c>
      <c r="H108" s="167">
        <f>inter($B108,H$106,'[3]Clin-PDD'!$A$127:$J$133)</f>
        <v>91.4</v>
      </c>
      <c r="I108" s="167">
        <f>inter($B108,I$106,'[3]Clin-PDD'!$A$127:$J$133)</f>
        <v>92.1</v>
      </c>
      <c r="J108" s="167">
        <f>inter($B108,J$106,'[3]Clin-PDD'!$A$127:$J$133)</f>
        <v>93.4</v>
      </c>
      <c r="K108" s="168">
        <f>inter($B108,K$106,'[3]Clin-PDD'!$A$127:$J$133)</f>
        <v>94.5</v>
      </c>
    </row>
    <row r="109" spans="1:11" x14ac:dyDescent="0.25">
      <c r="A109" s="229"/>
      <c r="B109" s="169">
        <v>1</v>
      </c>
      <c r="C109" s="166">
        <f>inter($B109,C$106,'[3]Clin-PDD'!$A$127:$J$133)</f>
        <v>64.449005650999993</v>
      </c>
      <c r="D109" s="167">
        <f>inter($B109,D$106,'[3]Clin-PDD'!$A$127:$J$133)</f>
        <v>70.099999999999994</v>
      </c>
      <c r="E109" s="167">
        <f>inter($B109,E$106,'[3]Clin-PDD'!$A$127:$J$133)</f>
        <v>75.099999999999994</v>
      </c>
      <c r="F109" s="167">
        <f>inter($B109,F$106,'[3]Clin-PDD'!$A$127:$J$133)</f>
        <v>78.7</v>
      </c>
      <c r="G109" s="167">
        <f>inter($B109,G$106,'[3]Clin-PDD'!$A$127:$J$133)</f>
        <v>80.8</v>
      </c>
      <c r="H109" s="167">
        <f>inter($B109,H$106,'[3]Clin-PDD'!$A$127:$J$133)</f>
        <v>82.3</v>
      </c>
      <c r="I109" s="167">
        <f>inter($B109,I$106,'[3]Clin-PDD'!$A$127:$J$133)</f>
        <v>83.5</v>
      </c>
      <c r="J109" s="167">
        <f>inter($B109,J$106,'[3]Clin-PDD'!$A$127:$J$133)</f>
        <v>86.3</v>
      </c>
      <c r="K109" s="168">
        <f>inter($B109,K$106,'[3]Clin-PDD'!$A$127:$J$133)</f>
        <v>88.1</v>
      </c>
    </row>
    <row r="110" spans="1:11" x14ac:dyDescent="0.25">
      <c r="A110" s="229"/>
      <c r="B110" s="169">
        <v>2</v>
      </c>
      <c r="C110" s="166">
        <f>inter($B110,C$106,'[3]Clin-PDD'!$A$127:$J$133)</f>
        <v>44.49200600799999</v>
      </c>
      <c r="D110" s="167">
        <f>inter($B110,D$106,'[3]Clin-PDD'!$A$127:$J$133)</f>
        <v>50.5</v>
      </c>
      <c r="E110" s="167">
        <f>inter($B110,E$106,'[3]Clin-PDD'!$A$127:$J$133)</f>
        <v>55.6</v>
      </c>
      <c r="F110" s="167">
        <f>inter($B110,F$106,'[3]Clin-PDD'!$A$127:$J$133)</f>
        <v>59.5</v>
      </c>
      <c r="G110" s="167">
        <f>inter($B110,G$106,'[3]Clin-PDD'!$A$127:$J$133)</f>
        <v>62.6</v>
      </c>
      <c r="H110" s="167">
        <f>inter($B110,H$106,'[3]Clin-PDD'!$A$127:$J$133)</f>
        <v>65</v>
      </c>
      <c r="I110" s="167">
        <f>inter($B110,I$106,'[3]Clin-PDD'!$A$127:$J$133)</f>
        <v>66.900000000000006</v>
      </c>
      <c r="J110" s="167">
        <f>inter($B110,J$106,'[3]Clin-PDD'!$A$127:$J$133)</f>
        <v>71.900000000000006</v>
      </c>
      <c r="K110" s="168">
        <f>inter($B110,K$106,'[3]Clin-PDD'!$A$127:$J$133)</f>
        <v>75.5</v>
      </c>
    </row>
    <row r="111" spans="1:11" x14ac:dyDescent="0.25">
      <c r="A111" s="229"/>
      <c r="B111" s="169">
        <v>3</v>
      </c>
      <c r="C111" s="166">
        <f>inter($B111,C$106,'[3]Clin-PDD'!$A$127:$J$133)</f>
        <v>30.870005130000003</v>
      </c>
      <c r="D111" s="167">
        <f>inter($B111,D$106,'[3]Clin-PDD'!$A$127:$J$133)</f>
        <v>36</v>
      </c>
      <c r="E111" s="167">
        <f>inter($B111,E$106,'[3]Clin-PDD'!$A$127:$J$133)</f>
        <v>40.5</v>
      </c>
      <c r="F111" s="167">
        <f>inter($B111,F$106,'[3]Clin-PDD'!$A$127:$J$133)</f>
        <v>45.1</v>
      </c>
      <c r="G111" s="167">
        <f>inter($B111,G$106,'[3]Clin-PDD'!$A$127:$J$133)</f>
        <v>48</v>
      </c>
      <c r="H111" s="167">
        <f>inter($B111,H$106,'[3]Clin-PDD'!$A$127:$J$133)</f>
        <v>50.5</v>
      </c>
      <c r="I111" s="167">
        <f>inter($B111,I$106,'[3]Clin-PDD'!$A$127:$J$133)</f>
        <v>52.4</v>
      </c>
      <c r="J111" s="167">
        <f>inter($B111,J$106,'[3]Clin-PDD'!$A$127:$J$133)</f>
        <v>58.8</v>
      </c>
      <c r="K111" s="168">
        <f>inter($B111,K$106,'[3]Clin-PDD'!$A$127:$J$133)</f>
        <v>63</v>
      </c>
    </row>
    <row r="112" spans="1:11" x14ac:dyDescent="0.25">
      <c r="A112" s="229"/>
      <c r="B112" s="170">
        <v>4</v>
      </c>
      <c r="C112" s="171">
        <f>inter($B112,C$106,'[3]Clin-PDD'!$A$127:$J$133)</f>
        <v>21.922004777999998</v>
      </c>
      <c r="D112" s="172">
        <f>inter($B112,D$106,'[3]Clin-PDD'!$A$127:$J$133)</f>
        <v>26.7</v>
      </c>
      <c r="E112" s="172">
        <f>inter($B112,E$106,'[3]Clin-PDD'!$A$127:$J$133)</f>
        <v>30.8</v>
      </c>
      <c r="F112" s="172">
        <f>inter($B112,F$106,'[3]Clin-PDD'!$A$127:$J$133)</f>
        <v>34.1</v>
      </c>
      <c r="G112" s="172">
        <f>inter($B112,G$106,'[3]Clin-PDD'!$A$127:$J$133)</f>
        <v>36.700000000000003</v>
      </c>
      <c r="H112" s="172">
        <f>inter($B112,H$106,'[3]Clin-PDD'!$A$127:$J$133)</f>
        <v>39</v>
      </c>
      <c r="I112" s="172">
        <f>inter($B112,I$106,'[3]Clin-PDD'!$A$127:$J$133)</f>
        <v>40.9</v>
      </c>
      <c r="J112" s="172">
        <f>inter($B112,J$106,'[3]Clin-PDD'!$A$127:$J$133)</f>
        <v>46.9</v>
      </c>
      <c r="K112" s="173">
        <f>inter($B112,K$106,'[3]Clin-PDD'!$A$127:$J$133)</f>
        <v>51.4</v>
      </c>
    </row>
  </sheetData>
  <sheetProtection sheet="1" objects="1" scenarios="1"/>
  <mergeCells count="26">
    <mergeCell ref="A107:A112"/>
    <mergeCell ref="A3:L3"/>
    <mergeCell ref="A27:L27"/>
    <mergeCell ref="A49:L49"/>
    <mergeCell ref="A71:L71"/>
    <mergeCell ref="A93:L93"/>
    <mergeCell ref="A7:A13"/>
    <mergeCell ref="C5:J5"/>
    <mergeCell ref="A18:A24"/>
    <mergeCell ref="A31:A36"/>
    <mergeCell ref="A41:A46"/>
    <mergeCell ref="A53:A58"/>
    <mergeCell ref="A63:A68"/>
    <mergeCell ref="A75:A80"/>
    <mergeCell ref="A85:A90"/>
    <mergeCell ref="A97:A102"/>
    <mergeCell ref="K16:L16"/>
    <mergeCell ref="C29:J29"/>
    <mergeCell ref="C39:J39"/>
    <mergeCell ref="C51:J51"/>
    <mergeCell ref="C73:J73"/>
    <mergeCell ref="C95:J95"/>
    <mergeCell ref="C61:J61"/>
    <mergeCell ref="C83:J83"/>
    <mergeCell ref="C105:J105"/>
    <mergeCell ref="C16:J16"/>
  </mergeCells>
  <pageMargins left="0.51181102362204722" right="0.31496062992125984" top="1.1417322834645669" bottom="0.74803149606299213" header="0.31496062992125984" footer="0.31496062992125984"/>
  <pageSetup paperSize="9" orientation="landscape" r:id="rId1"/>
  <headerFooter>
    <oddHeader>&amp;L&amp;"Arial Rounded MT Bold,Regular"&amp;K4D4D4D
&amp;14&amp;K660033Andrew Love Cancer Centre&amp;"-,Regular"&amp;11&amp;K01+000
&amp;"Arial Rounded MT Bold,Regular"&amp;12&amp;K4D4D4DSuperficial RT&amp;"-,Regular"&amp;11&amp;K01+000
&amp;R&amp;G</oddHeader>
  </headerFooter>
  <rowBreaks count="4" manualBreakCount="4">
    <brk id="26" max="16383" man="1"/>
    <brk id="48" max="16383" man="1"/>
    <brk id="70" max="16383" man="1"/>
    <brk id="92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30"/>
  <sheetViews>
    <sheetView workbookViewId="0">
      <selection activeCell="S14" sqref="S14"/>
    </sheetView>
  </sheetViews>
  <sheetFormatPr defaultRowHeight="15" x14ac:dyDescent="0.25"/>
  <sheetData>
    <row r="1" spans="1:15" ht="15.75" x14ac:dyDescent="0.25">
      <c r="A1" s="2" t="s">
        <v>67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x14ac:dyDescent="0.25">
      <c r="A2" s="3"/>
      <c r="B2" s="3"/>
      <c r="C2" s="3"/>
      <c r="D2" s="3"/>
      <c r="E2" s="3"/>
      <c r="F2" s="3"/>
      <c r="G2" s="68"/>
      <c r="H2" s="3"/>
      <c r="I2" s="3"/>
      <c r="J2" s="3"/>
      <c r="K2" s="3"/>
      <c r="L2" s="3"/>
      <c r="M2" s="3"/>
      <c r="N2" s="3"/>
      <c r="O2" s="3"/>
    </row>
    <row r="3" spans="1:15" ht="15.75" x14ac:dyDescent="0.25">
      <c r="A3" s="2" t="s">
        <v>74</v>
      </c>
      <c r="B3" s="65"/>
      <c r="C3" s="4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x14ac:dyDescent="0.25">
      <c r="A4" s="3"/>
      <c r="B4" s="3"/>
      <c r="C4" s="28" t="s">
        <v>21</v>
      </c>
      <c r="D4" s="3"/>
      <c r="E4" s="3"/>
      <c r="F4" s="28" t="s">
        <v>21</v>
      </c>
      <c r="G4" s="3"/>
      <c r="H4" s="3"/>
      <c r="I4" s="28" t="s">
        <v>21</v>
      </c>
      <c r="J4" s="3"/>
      <c r="K4" s="3"/>
      <c r="L4" s="28" t="s">
        <v>21</v>
      </c>
      <c r="M4" s="3"/>
      <c r="N4" s="3"/>
      <c r="O4" s="28" t="s">
        <v>21</v>
      </c>
    </row>
    <row r="5" spans="1:15" x14ac:dyDescent="0.25">
      <c r="A5" s="3"/>
      <c r="B5" s="5"/>
      <c r="C5" s="69">
        <v>1</v>
      </c>
      <c r="D5" s="3"/>
      <c r="E5" s="5"/>
      <c r="F5" s="69">
        <v>2</v>
      </c>
      <c r="G5" s="3"/>
      <c r="H5" s="5"/>
      <c r="I5" s="69">
        <v>3</v>
      </c>
      <c r="J5" s="3"/>
      <c r="K5" s="5"/>
      <c r="L5" s="69">
        <v>4</v>
      </c>
      <c r="M5" s="3"/>
      <c r="N5" s="5"/>
      <c r="O5" s="69">
        <v>5</v>
      </c>
    </row>
    <row r="6" spans="1:15" x14ac:dyDescent="0.25">
      <c r="A6" s="64" t="s">
        <v>66</v>
      </c>
      <c r="B6" s="49">
        <v>1</v>
      </c>
      <c r="C6" s="53">
        <v>0</v>
      </c>
      <c r="D6" s="64" t="s">
        <v>66</v>
      </c>
      <c r="E6" s="49">
        <v>1</v>
      </c>
      <c r="F6" s="53">
        <v>0</v>
      </c>
      <c r="G6" s="64" t="s">
        <v>66</v>
      </c>
      <c r="H6" s="52">
        <v>1</v>
      </c>
      <c r="I6" s="53">
        <v>0</v>
      </c>
      <c r="J6" s="64" t="s">
        <v>66</v>
      </c>
      <c r="K6" s="52">
        <v>1</v>
      </c>
      <c r="L6" s="53">
        <v>0</v>
      </c>
      <c r="M6" s="64" t="s">
        <v>66</v>
      </c>
      <c r="N6" s="52">
        <v>1</v>
      </c>
      <c r="O6" s="53">
        <v>0</v>
      </c>
    </row>
    <row r="7" spans="1:15" x14ac:dyDescent="0.25">
      <c r="A7" s="4"/>
      <c r="B7" s="49">
        <f>inter(C7,0.4,Bw!$B$7:$G$15)</f>
        <v>1.0286819941097507</v>
      </c>
      <c r="C7" s="86">
        <v>1</v>
      </c>
      <c r="D7" s="4"/>
      <c r="E7" s="49">
        <f>inter(C7,1,Bw!$B$7:$G$15)</f>
        <v>1.0451961757583854</v>
      </c>
      <c r="F7" s="86">
        <v>1</v>
      </c>
      <c r="G7" s="4"/>
      <c r="H7" s="49">
        <f>inter(C7,2,Bw!$B$7:$G$15)</f>
        <v>1.0559368152688957</v>
      </c>
      <c r="I7" s="53">
        <v>1</v>
      </c>
      <c r="J7" s="4"/>
      <c r="K7" s="49">
        <f>inter(C7,3,Bw!$B$7:$G$15)</f>
        <v>1.0592290524299348</v>
      </c>
      <c r="L7" s="53">
        <v>1</v>
      </c>
      <c r="M7" s="4"/>
      <c r="N7" s="49">
        <f>inter(C7,4,Bw!$B$7:$G$15)</f>
        <v>1.0589718500952241</v>
      </c>
      <c r="O7" s="53">
        <v>1</v>
      </c>
    </row>
    <row r="8" spans="1:15" x14ac:dyDescent="0.25">
      <c r="A8" s="3"/>
      <c r="B8" s="50">
        <f>inter(C8,0.4,Bw!$B$7:$G$15)</f>
        <v>1.0450252768861228</v>
      </c>
      <c r="C8" s="87">
        <v>2</v>
      </c>
      <c r="D8" s="4"/>
      <c r="E8" s="50">
        <f>inter(C8,1,Bw!$B$7:$G$15)</f>
        <v>1.0802757343971003</v>
      </c>
      <c r="F8" s="87">
        <v>2</v>
      </c>
      <c r="G8" s="3"/>
      <c r="H8" s="50">
        <f>inter(C8,2,Bw!$B$7:$G$15)</f>
        <v>1.1058366212336455</v>
      </c>
      <c r="I8" s="54">
        <v>2</v>
      </c>
      <c r="J8" s="3"/>
      <c r="K8" s="50">
        <f>inter(C8,3,Bw!$B$7:$G$15)</f>
        <v>1.1145825199819177</v>
      </c>
      <c r="L8" s="54">
        <v>2</v>
      </c>
      <c r="M8" s="3"/>
      <c r="N8" s="50">
        <f>inter(C8,4,Bw!$B$7:$G$15)</f>
        <v>1.1179231651608839</v>
      </c>
      <c r="O8" s="54">
        <v>2</v>
      </c>
    </row>
    <row r="9" spans="1:15" x14ac:dyDescent="0.25">
      <c r="A9" s="3"/>
      <c r="B9" s="50">
        <f>inter(C9,0.4,Bw!$B$7:$G$15)</f>
        <v>1.0529810457602509</v>
      </c>
      <c r="C9" s="87">
        <v>3</v>
      </c>
      <c r="D9" s="4"/>
      <c r="E9" s="50">
        <f>inter(C9,1,Bw!$B$7:$G$15)</f>
        <v>1.0996070687145083</v>
      </c>
      <c r="F9" s="87">
        <v>3</v>
      </c>
      <c r="G9" s="3"/>
      <c r="H9" s="50">
        <f>inter(C9,2,Bw!$B$7:$G$15)</f>
        <v>1.136322229838598</v>
      </c>
      <c r="I9" s="54">
        <v>3</v>
      </c>
      <c r="J9" s="3"/>
      <c r="K9" s="50">
        <f>inter(C9,3,Bw!$B$7:$G$15)</f>
        <v>1.1530782486401296</v>
      </c>
      <c r="L9" s="54">
        <v>3</v>
      </c>
      <c r="M9" s="3"/>
      <c r="N9" s="50">
        <f>inter(C9,4,Bw!$B$7:$G$15)</f>
        <v>1.1613439543276611</v>
      </c>
      <c r="O9" s="54">
        <v>3</v>
      </c>
    </row>
    <row r="10" spans="1:15" x14ac:dyDescent="0.25">
      <c r="A10" s="3"/>
      <c r="B10" s="50">
        <f>inter(C10,0.4,Bw!$B$7:$G$15)</f>
        <v>1.0610323239615416</v>
      </c>
      <c r="C10" s="87">
        <v>5</v>
      </c>
      <c r="D10" s="4"/>
      <c r="E10" s="50">
        <f>inter(C10,1,Bw!$B$7:$G$15)</f>
        <v>1.1227397889674751</v>
      </c>
      <c r="F10" s="87">
        <v>5</v>
      </c>
      <c r="G10" s="3"/>
      <c r="H10" s="50">
        <f>inter(C10,2,Bw!$B$7:$G$15)</f>
        <v>1.1797105683060676</v>
      </c>
      <c r="I10" s="54">
        <v>5</v>
      </c>
      <c r="J10" s="3"/>
      <c r="K10" s="50">
        <f>inter(C10,3,Bw!$B$7:$G$15)</f>
        <v>1.2064203401973839</v>
      </c>
      <c r="L10" s="54">
        <v>5</v>
      </c>
      <c r="M10" s="3"/>
      <c r="N10" s="50">
        <f>inter(C10,4,Bw!$B$7:$G$15)</f>
        <v>1.2227604399398211</v>
      </c>
      <c r="O10" s="54">
        <v>5</v>
      </c>
    </row>
    <row r="11" spans="1:15" x14ac:dyDescent="0.25">
      <c r="A11" s="3"/>
      <c r="B11" s="50">
        <f>inter(C11,0.4,Bw!$B$7:$G$15)</f>
        <v>1.0673634429608665</v>
      </c>
      <c r="C11" s="87">
        <v>10</v>
      </c>
      <c r="D11" s="4"/>
      <c r="E11" s="50">
        <f>inter(C11,1,Bw!$B$7:$G$15)</f>
        <v>1.1437023362439456</v>
      </c>
      <c r="F11" s="87">
        <v>10</v>
      </c>
      <c r="G11" s="3"/>
      <c r="H11" s="50">
        <f>inter(C11,2,Bw!$B$7:$G$15)</f>
        <v>1.2251793057955982</v>
      </c>
      <c r="I11" s="54">
        <v>10</v>
      </c>
      <c r="J11" s="3"/>
      <c r="K11" s="50">
        <f>inter(C11,3,Bw!$B$7:$G$15)</f>
        <v>1.2721574704231511</v>
      </c>
      <c r="L11" s="54">
        <v>10</v>
      </c>
      <c r="M11" s="3"/>
      <c r="N11" s="50">
        <f>inter(C11,4,Bw!$B$7:$G$15)</f>
        <v>1.3060497773395086</v>
      </c>
      <c r="O11" s="54">
        <v>10</v>
      </c>
    </row>
    <row r="12" spans="1:15" x14ac:dyDescent="0.25">
      <c r="A12" s="3"/>
      <c r="B12" s="50">
        <f>inter(C12,0.4,Bw!$B$7:$G$15)</f>
        <v>1.0686466273506268</v>
      </c>
      <c r="C12" s="87">
        <v>15</v>
      </c>
      <c r="D12" s="4"/>
      <c r="E12" s="50">
        <f>inter(C12,1,Bw!$B$7:$G$15)</f>
        <v>1.1489127325463033</v>
      </c>
      <c r="F12" s="87">
        <v>15</v>
      </c>
      <c r="G12" s="3"/>
      <c r="H12" s="50">
        <f>inter(C12,2,Bw!$B$7:$G$15)</f>
        <v>1.238704955644266</v>
      </c>
      <c r="I12" s="54">
        <v>15</v>
      </c>
      <c r="J12" s="3"/>
      <c r="K12" s="50">
        <f>inter(C12,3,Bw!$B$7:$G$15)</f>
        <v>1.2954231665389189</v>
      </c>
      <c r="L12" s="54">
        <v>15</v>
      </c>
      <c r="M12" s="3"/>
      <c r="N12" s="50">
        <f>inter(C12,4,Bw!$B$7:$G$15)</f>
        <v>1.3379644038030898</v>
      </c>
      <c r="O12" s="54">
        <v>15</v>
      </c>
    </row>
    <row r="13" spans="1:15" x14ac:dyDescent="0.25">
      <c r="A13" s="3"/>
      <c r="B13" s="51">
        <f>inter(C13,0.4,Bw!$B$7:$G$15)</f>
        <v>1.0688383731089444</v>
      </c>
      <c r="C13" s="88">
        <v>16</v>
      </c>
      <c r="D13" s="4"/>
      <c r="E13" s="51">
        <f>inter(C13,1,Bw!$B$7:$G$15)</f>
        <v>1.1493822363243014</v>
      </c>
      <c r="F13" s="88">
        <v>15.00001</v>
      </c>
      <c r="G13" s="3"/>
      <c r="H13" s="51">
        <f>inter(C13,2,Bw!$B$7:$G$15)</f>
        <v>1.2395128410543217</v>
      </c>
      <c r="I13" s="55">
        <v>15.00001</v>
      </c>
      <c r="J13" s="3"/>
      <c r="K13" s="51">
        <f>inter(C13,3,Bw!$B$7:$G$15)</f>
        <v>1.297110259606822</v>
      </c>
      <c r="L13" s="55">
        <v>15.00001</v>
      </c>
      <c r="M13" s="3"/>
      <c r="N13" s="51">
        <f>inter(C13,4,Bw!$B$7:$G$15)</f>
        <v>1.3403661354144434</v>
      </c>
      <c r="O13" s="55">
        <v>15.00001</v>
      </c>
    </row>
    <row r="14" spans="1:1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1:1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ht="15.75" x14ac:dyDescent="0.25">
      <c r="A16" s="2" t="s">
        <v>75</v>
      </c>
      <c r="B16" s="65"/>
      <c r="C16" s="4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5" x14ac:dyDescent="0.25">
      <c r="A17" s="3"/>
      <c r="B17" s="3"/>
      <c r="C17" s="28" t="s">
        <v>21</v>
      </c>
      <c r="D17" s="3"/>
      <c r="E17" s="3"/>
      <c r="F17" s="28" t="s">
        <v>21</v>
      </c>
      <c r="G17" s="3"/>
      <c r="H17" s="3"/>
      <c r="I17" s="28" t="s">
        <v>21</v>
      </c>
      <c r="J17" s="3"/>
      <c r="K17" s="3"/>
      <c r="L17" s="28" t="s">
        <v>21</v>
      </c>
      <c r="M17" s="3"/>
      <c r="N17" s="3"/>
      <c r="O17" s="28" t="s">
        <v>21</v>
      </c>
    </row>
    <row r="18" spans="1:15" x14ac:dyDescent="0.25">
      <c r="A18" s="3"/>
      <c r="B18" s="5"/>
      <c r="C18" s="69">
        <v>1</v>
      </c>
      <c r="D18" s="3"/>
      <c r="E18" s="5"/>
      <c r="F18" s="69">
        <v>2</v>
      </c>
      <c r="G18" s="3"/>
      <c r="H18" s="5"/>
      <c r="I18" s="69">
        <v>3</v>
      </c>
      <c r="J18" s="3"/>
      <c r="K18" s="5"/>
      <c r="L18" s="69">
        <v>4</v>
      </c>
      <c r="M18" s="3"/>
      <c r="N18" s="5"/>
      <c r="O18" s="69">
        <v>5</v>
      </c>
    </row>
    <row r="19" spans="1:15" x14ac:dyDescent="0.25">
      <c r="A19" s="64" t="s">
        <v>66</v>
      </c>
      <c r="B19" s="52">
        <v>1</v>
      </c>
      <c r="C19" s="53">
        <v>0</v>
      </c>
      <c r="D19" s="64" t="s">
        <v>66</v>
      </c>
      <c r="E19" s="52">
        <v>1</v>
      </c>
      <c r="F19" s="53">
        <v>0</v>
      </c>
      <c r="G19" s="64" t="s">
        <v>66</v>
      </c>
      <c r="H19" s="52">
        <v>1</v>
      </c>
      <c r="I19" s="53">
        <v>0</v>
      </c>
      <c r="J19" s="64" t="s">
        <v>66</v>
      </c>
      <c r="K19" s="52">
        <v>1</v>
      </c>
      <c r="L19" s="53">
        <v>0</v>
      </c>
      <c r="M19" s="64" t="s">
        <v>66</v>
      </c>
      <c r="N19" s="52">
        <v>1</v>
      </c>
      <c r="O19" s="53">
        <v>0</v>
      </c>
    </row>
    <row r="20" spans="1:15" x14ac:dyDescent="0.25">
      <c r="A20" s="4"/>
      <c r="B20" s="49">
        <f>inter(C7,0.4,Bw!$B$20:$G$28)</f>
        <v>1.0287244363952377</v>
      </c>
      <c r="C20" s="53">
        <v>1</v>
      </c>
      <c r="D20" s="4"/>
      <c r="E20" s="49">
        <f>inter(C7,1,Bw!$B$20:$G$28)</f>
        <v>1.045453931287873</v>
      </c>
      <c r="F20" s="53">
        <v>1</v>
      </c>
      <c r="G20" s="4"/>
      <c r="H20" s="49">
        <f>inter(C7,2,Bw!$B$20:$G$28)</f>
        <v>1.0574102807597194</v>
      </c>
      <c r="I20" s="53">
        <v>1</v>
      </c>
      <c r="J20" s="4"/>
      <c r="K20" s="49">
        <f>inter(C7,3,Bw!$B$20:$G$28)</f>
        <v>1.0601527667816371</v>
      </c>
      <c r="L20" s="53">
        <v>1</v>
      </c>
      <c r="M20" s="4"/>
      <c r="N20" s="49">
        <f>inter(C7,4,Bw!$B$20:$G$28)</f>
        <v>1.0599697772222725</v>
      </c>
      <c r="O20" s="53">
        <v>1</v>
      </c>
    </row>
    <row r="21" spans="1:15" x14ac:dyDescent="0.25">
      <c r="A21" s="3"/>
      <c r="B21" s="50">
        <f>inter(C8,0.4,Bw!$B$20:$G$28)</f>
        <v>1.0451033688709581</v>
      </c>
      <c r="C21" s="54">
        <v>2</v>
      </c>
      <c r="D21" s="3"/>
      <c r="E21" s="50">
        <f>inter(C8,1,Bw!$B$20:$G$28)</f>
        <v>1.0801351654140294</v>
      </c>
      <c r="F21" s="54">
        <v>2</v>
      </c>
      <c r="G21" s="3"/>
      <c r="H21" s="50">
        <f>inter(C8,2,Bw!$B$20:$G$28)</f>
        <v>1.1072994613401104</v>
      </c>
      <c r="I21" s="54">
        <v>2</v>
      </c>
      <c r="J21" s="3"/>
      <c r="K21" s="50">
        <f>inter(C8,3,Bw!$B$20:$G$28)</f>
        <v>1.1155682232702919</v>
      </c>
      <c r="L21" s="54">
        <v>2</v>
      </c>
      <c r="M21" s="3"/>
      <c r="N21" s="50">
        <f>inter(C8,4,Bw!$B$20:$G$28)</f>
        <v>1.1199088469036986</v>
      </c>
      <c r="O21" s="54">
        <v>2</v>
      </c>
    </row>
    <row r="22" spans="1:15" x14ac:dyDescent="0.25">
      <c r="A22" s="3"/>
      <c r="B22" s="50">
        <f>inter(C9,0.4,Bw!$B$20:$G$28)</f>
        <v>1.0534457553112206</v>
      </c>
      <c r="C22" s="54">
        <v>3</v>
      </c>
      <c r="D22" s="3"/>
      <c r="E22" s="50">
        <f>inter(C9,1,Bw!$B$20:$G$28)</f>
        <v>1.10049341773291</v>
      </c>
      <c r="F22" s="54">
        <v>3</v>
      </c>
      <c r="G22" s="3"/>
      <c r="H22" s="50">
        <f>inter(C9,2,Bw!$B$20:$G$28)</f>
        <v>1.1388030956372353</v>
      </c>
      <c r="I22" s="54">
        <v>3</v>
      </c>
      <c r="J22" s="3"/>
      <c r="K22" s="50">
        <f>inter(C9,3,Bw!$B$20:$G$28)</f>
        <v>1.1557252361450259</v>
      </c>
      <c r="L22" s="54">
        <v>3</v>
      </c>
      <c r="M22" s="3"/>
      <c r="N22" s="50">
        <f>inter(C9,4,Bw!$B$20:$G$28)</f>
        <v>1.1643640065657963</v>
      </c>
      <c r="O22" s="54">
        <v>3</v>
      </c>
    </row>
    <row r="23" spans="1:15" x14ac:dyDescent="0.25">
      <c r="A23" s="3"/>
      <c r="B23" s="50">
        <f>inter(C10,0.4,Bw!$B$20:$G$28)</f>
        <v>1.0614788523050565</v>
      </c>
      <c r="C23" s="54">
        <v>5</v>
      </c>
      <c r="D23" s="3"/>
      <c r="E23" s="50">
        <f>inter(C10,1,Bw!$B$20:$G$28)</f>
        <v>1.1236308273216684</v>
      </c>
      <c r="F23" s="54">
        <v>5</v>
      </c>
      <c r="G23" s="3"/>
      <c r="H23" s="50">
        <f>inter(C10,2,Bw!$B$20:$G$28)</f>
        <v>1.1822210005534501</v>
      </c>
      <c r="I23" s="54">
        <v>5</v>
      </c>
      <c r="J23" s="3"/>
      <c r="K23" s="50">
        <f>inter(C10,3,Bw!$B$20:$G$28)</f>
        <v>1.2116955725183707</v>
      </c>
      <c r="L23" s="54">
        <v>5</v>
      </c>
      <c r="M23" s="3"/>
      <c r="N23" s="50">
        <f>inter(C10,4,Bw!$B$20:$G$28)</f>
        <v>1.2312372423535172</v>
      </c>
      <c r="O23" s="54">
        <v>5</v>
      </c>
    </row>
    <row r="24" spans="1:15" x14ac:dyDescent="0.25">
      <c r="A24" s="3"/>
      <c r="B24" s="50">
        <f>inter(C11,0.4,Bw!$B$20:$G$28)</f>
        <v>1.0687700129468272</v>
      </c>
      <c r="C24" s="54">
        <v>10</v>
      </c>
      <c r="D24" s="3"/>
      <c r="E24" s="50">
        <f>inter(C11,1,Bw!$B$20:$G$28)</f>
        <v>1.147687242075119</v>
      </c>
      <c r="F24" s="54">
        <v>10</v>
      </c>
      <c r="G24" s="3"/>
      <c r="H24" s="50">
        <f>inter(C11,2,Bw!$B$20:$G$28)</f>
        <v>1.2361315358735578</v>
      </c>
      <c r="I24" s="54">
        <v>10</v>
      </c>
      <c r="J24" s="3"/>
      <c r="K24" s="50">
        <f>inter(C11,3,Bw!$B$20:$G$28)</f>
        <v>1.2865912523350134</v>
      </c>
      <c r="L24" s="54">
        <v>10</v>
      </c>
      <c r="M24" s="3"/>
      <c r="N24" s="50">
        <f>inter(C11,4,Bw!$B$20:$G$28)</f>
        <v>1.3245881416536831</v>
      </c>
      <c r="O24" s="54">
        <v>10</v>
      </c>
    </row>
    <row r="25" spans="1:15" x14ac:dyDescent="0.25">
      <c r="A25" s="3"/>
      <c r="B25" s="50">
        <f>inter(C12,0.4,Bw!$B$20:$G$28)</f>
        <v>1.0706092509061951</v>
      </c>
      <c r="C25" s="54">
        <v>15</v>
      </c>
      <c r="D25" s="3"/>
      <c r="E25" s="50">
        <f>inter(C12,1,Bw!$B$20:$G$28)</f>
        <v>1.1548752571751988</v>
      </c>
      <c r="F25" s="54">
        <v>15</v>
      </c>
      <c r="G25" s="3"/>
      <c r="H25" s="50">
        <f>inter(C12,2,Bw!$B$20:$G$28)</f>
        <v>1.2541685912452629</v>
      </c>
      <c r="I25" s="54">
        <v>15</v>
      </c>
      <c r="J25" s="3"/>
      <c r="K25" s="50">
        <f>inter(C12,3,Bw!$B$20:$G$28)</f>
        <v>1.3178464244599406</v>
      </c>
      <c r="L25" s="54">
        <v>15</v>
      </c>
      <c r="M25" s="3"/>
      <c r="N25" s="50">
        <f>inter(C12,4,Bw!$B$20:$G$28)</f>
        <v>1.3679697487531155</v>
      </c>
      <c r="O25" s="54">
        <v>15</v>
      </c>
    </row>
    <row r="26" spans="1:15" x14ac:dyDescent="0.25">
      <c r="A26" s="3"/>
      <c r="B26" s="51">
        <f>inter(C13,0.4,Bw!$B$20:$G$28)</f>
        <v>1.0707809684809937</v>
      </c>
      <c r="C26" s="55">
        <v>16</v>
      </c>
      <c r="D26" s="3"/>
      <c r="E26" s="51">
        <f>inter(C13,1,Bw!$B$20:$G$28)</f>
        <v>1.1555294038018202</v>
      </c>
      <c r="F26" s="55">
        <v>16</v>
      </c>
      <c r="G26" s="3"/>
      <c r="H26" s="51">
        <f>inter(C13,2,Bw!$B$20:$G$28)</f>
        <v>1.2555798145080179</v>
      </c>
      <c r="I26" s="55">
        <v>16</v>
      </c>
      <c r="J26" s="3"/>
      <c r="K26" s="51">
        <f>inter(C13,3,Bw!$B$20:$G$28)</f>
        <v>1.3207175722333802</v>
      </c>
      <c r="L26" s="55">
        <v>16</v>
      </c>
      <c r="M26" s="3"/>
      <c r="N26" s="51">
        <f>inter(C13,4,Bw!$B$20:$G$28)</f>
        <v>1.3719621007255578</v>
      </c>
      <c r="O26" s="55">
        <v>16</v>
      </c>
    </row>
    <row r="30" spans="1:15" ht="15.75" x14ac:dyDescent="0.25">
      <c r="A30" s="2"/>
    </row>
  </sheetData>
  <sheetProtection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7"/>
  <sheetViews>
    <sheetView workbookViewId="0">
      <selection activeCell="G15" sqref="G15"/>
    </sheetView>
  </sheetViews>
  <sheetFormatPr defaultRowHeight="15" x14ac:dyDescent="0.25"/>
  <sheetData>
    <row r="1" spans="1:3" x14ac:dyDescent="0.25">
      <c r="A1" t="s">
        <v>3</v>
      </c>
    </row>
    <row r="3" spans="1:3" x14ac:dyDescent="0.25">
      <c r="B3" t="s">
        <v>4</v>
      </c>
    </row>
    <row r="4" spans="1:3" x14ac:dyDescent="0.25">
      <c r="C4" t="s">
        <v>5</v>
      </c>
    </row>
    <row r="6" spans="1:3" x14ac:dyDescent="0.25">
      <c r="B6" t="s">
        <v>7</v>
      </c>
    </row>
    <row r="7" spans="1:3" x14ac:dyDescent="0.25">
      <c r="C7" t="s">
        <v>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17"/>
  <sheetViews>
    <sheetView workbookViewId="0">
      <selection activeCell="J35" sqref="J35"/>
    </sheetView>
  </sheetViews>
  <sheetFormatPr defaultRowHeight="14.25" x14ac:dyDescent="0.2"/>
  <cols>
    <col min="1" max="16384" width="9.140625" style="3"/>
  </cols>
  <sheetData>
    <row r="1" spans="1:6" ht="18" x14ac:dyDescent="0.25">
      <c r="A1" s="24" t="s">
        <v>101</v>
      </c>
    </row>
    <row r="3" spans="1:6" ht="15" x14ac:dyDescent="0.25">
      <c r="A3" s="4" t="s">
        <v>100</v>
      </c>
      <c r="F3" s="4" t="s">
        <v>99</v>
      </c>
    </row>
    <row r="7" spans="1:6" ht="15" x14ac:dyDescent="0.25">
      <c r="A7" s="4" t="s">
        <v>87</v>
      </c>
    </row>
    <row r="16" spans="1:6" x14ac:dyDescent="0.2">
      <c r="A16" s="32"/>
      <c r="B16" s="90" t="s">
        <v>88</v>
      </c>
      <c r="C16" s="111">
        <v>1</v>
      </c>
    </row>
    <row r="17" spans="1:3" x14ac:dyDescent="0.2">
      <c r="A17" s="32"/>
      <c r="B17" s="90" t="s">
        <v>53</v>
      </c>
      <c r="C17" s="111">
        <v>38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5" r:id="rId3" name="CommandButton1">
          <controlPr defaultSize="0" autoLine="0" r:id="rId4">
            <anchor moveWithCells="1">
              <from>
                <xdr:col>3</xdr:col>
                <xdr:colOff>276225</xdr:colOff>
                <xdr:row>15</xdr:row>
                <xdr:rowOff>0</xdr:rowOff>
              </from>
              <to>
                <xdr:col>5</xdr:col>
                <xdr:colOff>342900</xdr:colOff>
                <xdr:row>17</xdr:row>
                <xdr:rowOff>0</xdr:rowOff>
              </to>
            </anchor>
          </controlPr>
        </control>
      </mc:Choice>
      <mc:Fallback>
        <control shapeId="26625" r:id="rId3" name="CommandButton1"/>
      </mc:Fallback>
    </mc:AlternateContent>
    <mc:AlternateContent xmlns:mc="http://schemas.openxmlformats.org/markup-compatibility/2006">
      <mc:Choice Requires="x14">
        <control shapeId="26626" r:id="rId5" name="CommandButton2">
          <controlPr defaultSize="0" autoLine="0" r:id="rId6">
            <anchor moveWithCells="1">
              <from>
                <xdr:col>6</xdr:col>
                <xdr:colOff>152400</xdr:colOff>
                <xdr:row>15</xdr:row>
                <xdr:rowOff>0</xdr:rowOff>
              </from>
              <to>
                <xdr:col>7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26626" r:id="rId5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128</vt:i4>
      </vt:variant>
    </vt:vector>
  </HeadingPairs>
  <TitlesOfParts>
    <vt:vector size="139" baseType="lpstr">
      <vt:lpstr>Instructions</vt:lpstr>
      <vt:lpstr>time_calc</vt:lpstr>
      <vt:lpstr>B-calc</vt:lpstr>
      <vt:lpstr>Verification</vt:lpstr>
      <vt:lpstr>B-calc-reg</vt:lpstr>
      <vt:lpstr>D0_tshutter_SSD</vt:lpstr>
      <vt:lpstr>Bw</vt:lpstr>
      <vt:lpstr>PDD</vt:lpstr>
      <vt:lpstr>Eq_circ</vt:lpstr>
      <vt:lpstr>Sheet2</vt:lpstr>
      <vt:lpstr>Lack_Bw_calc</vt:lpstr>
      <vt:lpstr>Appl_sel</vt:lpstr>
      <vt:lpstr>Bone_depth</vt:lpstr>
      <vt:lpstr>Bone_dose_frac</vt:lpstr>
      <vt:lpstr>Bone_dose_tot</vt:lpstr>
      <vt:lpstr>Bone_dpt_tit</vt:lpstr>
      <vt:lpstr>Bone_gap</vt:lpstr>
      <vt:lpstr>Bone_gap_tit</vt:lpstr>
      <vt:lpstr>Bone_ISL</vt:lpstr>
      <vt:lpstr>Bone_mu_en</vt:lpstr>
      <vt:lpstr>Bw_circle</vt:lpstr>
      <vt:lpstr>Bw_corr</vt:lpstr>
      <vt:lpstr>Bw_eq_circ</vt:lpstr>
      <vt:lpstr>Bw_oval</vt:lpstr>
      <vt:lpstr>Bw_sel</vt:lpstr>
      <vt:lpstr>Calc_time</vt:lpstr>
      <vt:lpstr>D_F1_A</vt:lpstr>
      <vt:lpstr>D_F1_B</vt:lpstr>
      <vt:lpstr>D_F1_C</vt:lpstr>
      <vt:lpstr>D_F1_D</vt:lpstr>
      <vt:lpstr>D_F1_E</vt:lpstr>
      <vt:lpstr>D_F1_F</vt:lpstr>
      <vt:lpstr>D_F2_A</vt:lpstr>
      <vt:lpstr>D_F2_B</vt:lpstr>
      <vt:lpstr>D_F2_C</vt:lpstr>
      <vt:lpstr>D_F2_D</vt:lpstr>
      <vt:lpstr>D_F2_E</vt:lpstr>
      <vt:lpstr>D_F2_F</vt:lpstr>
      <vt:lpstr>D_F3_A</vt:lpstr>
      <vt:lpstr>D_F3_B</vt:lpstr>
      <vt:lpstr>D_F3_C</vt:lpstr>
      <vt:lpstr>D_F3_D</vt:lpstr>
      <vt:lpstr>D_F3_E</vt:lpstr>
      <vt:lpstr>D_F3_F</vt:lpstr>
      <vt:lpstr>D_F4_A</vt:lpstr>
      <vt:lpstr>D_F4_B</vt:lpstr>
      <vt:lpstr>D_F4_C</vt:lpstr>
      <vt:lpstr>D_F4_D</vt:lpstr>
      <vt:lpstr>D_F4_E</vt:lpstr>
      <vt:lpstr>D_F4_F</vt:lpstr>
      <vt:lpstr>D_F5_A</vt:lpstr>
      <vt:lpstr>D_F5_B</vt:lpstr>
      <vt:lpstr>D_F5_C</vt:lpstr>
      <vt:lpstr>D_F5_D</vt:lpstr>
      <vt:lpstr>D_F5_E</vt:lpstr>
      <vt:lpstr>D_F5_F</vt:lpstr>
      <vt:lpstr>D0_sel</vt:lpstr>
      <vt:lpstr>diam_Appl_Sel</vt:lpstr>
      <vt:lpstr>diameter</vt:lpstr>
      <vt:lpstr>Dose_rate</vt:lpstr>
      <vt:lpstr>Dprescr</vt:lpstr>
      <vt:lpstr>equi_diameter</vt:lpstr>
      <vt:lpstr>Filter_sel</vt:lpstr>
      <vt:lpstr>HVL_F1</vt:lpstr>
      <vt:lpstr>HVL_F2</vt:lpstr>
      <vt:lpstr>HVL_F3</vt:lpstr>
      <vt:lpstr>HVL_F4</vt:lpstr>
      <vt:lpstr>HVL_F5</vt:lpstr>
      <vt:lpstr>HVL_sel</vt:lpstr>
      <vt:lpstr>ISL_sel</vt:lpstr>
      <vt:lpstr>kV_F1</vt:lpstr>
      <vt:lpstr>kV_F2</vt:lpstr>
      <vt:lpstr>kV_F3</vt:lpstr>
      <vt:lpstr>kV_F4</vt:lpstr>
      <vt:lpstr>kV_F5</vt:lpstr>
      <vt:lpstr>kV_sel</vt:lpstr>
      <vt:lpstr>major_ax</vt:lpstr>
      <vt:lpstr>minor_ax</vt:lpstr>
      <vt:lpstr>mu_F1_15</vt:lpstr>
      <vt:lpstr>mu_F1_25</vt:lpstr>
      <vt:lpstr>mu_F2_15</vt:lpstr>
      <vt:lpstr>mu_F2_25</vt:lpstr>
      <vt:lpstr>mu_F3_15</vt:lpstr>
      <vt:lpstr>mu_F3_25</vt:lpstr>
      <vt:lpstr>mu_F4_15</vt:lpstr>
      <vt:lpstr>mu_F4_25</vt:lpstr>
      <vt:lpstr>mu_F5_15</vt:lpstr>
      <vt:lpstr>mu_F5_25</vt:lpstr>
      <vt:lpstr>Pat_name</vt:lpstr>
      <vt:lpstr>Pat_plan_id</vt:lpstr>
      <vt:lpstr>Pat_tr_site</vt:lpstr>
      <vt:lpstr>Pat_URL</vt:lpstr>
      <vt:lpstr>PDD</vt:lpstr>
      <vt:lpstr>PDD_bone</vt:lpstr>
      <vt:lpstr>PDD_sel</vt:lpstr>
      <vt:lpstr>PDD_tit</vt:lpstr>
      <vt:lpstr>Plan_date</vt:lpstr>
      <vt:lpstr>Presc_dose_frac</vt:lpstr>
      <vt:lpstr>Presc_gap</vt:lpstr>
      <vt:lpstr>Presc_num_frac</vt:lpstr>
      <vt:lpstr>Presc_total_dose</vt:lpstr>
      <vt:lpstr>SSD_F1_A</vt:lpstr>
      <vt:lpstr>SSD_F1_B</vt:lpstr>
      <vt:lpstr>SSD_F1_C</vt:lpstr>
      <vt:lpstr>SSD_F1_D</vt:lpstr>
      <vt:lpstr>SSD_F1_E</vt:lpstr>
      <vt:lpstr>SSD_F1_F</vt:lpstr>
      <vt:lpstr>SSD_F2_A</vt:lpstr>
      <vt:lpstr>SSD_F2_B</vt:lpstr>
      <vt:lpstr>SSD_F2_C</vt:lpstr>
      <vt:lpstr>SSD_F2_D</vt:lpstr>
      <vt:lpstr>SSD_F2_E</vt:lpstr>
      <vt:lpstr>SSD_F2_F</vt:lpstr>
      <vt:lpstr>SSD_F3_A</vt:lpstr>
      <vt:lpstr>SSD_F3_B</vt:lpstr>
      <vt:lpstr>SSD_F3_C</vt:lpstr>
      <vt:lpstr>SSD_F3_D</vt:lpstr>
      <vt:lpstr>SSD_F3_E</vt:lpstr>
      <vt:lpstr>SSD_F3_F</vt:lpstr>
      <vt:lpstr>SSD_F4_A</vt:lpstr>
      <vt:lpstr>SSD_F4_B</vt:lpstr>
      <vt:lpstr>SSD_F4_C</vt:lpstr>
      <vt:lpstr>SSD_F4_D</vt:lpstr>
      <vt:lpstr>SSD_F4_E</vt:lpstr>
      <vt:lpstr>SSD_F4_F</vt:lpstr>
      <vt:lpstr>SSD_F5_A</vt:lpstr>
      <vt:lpstr>SSD_F5_B</vt:lpstr>
      <vt:lpstr>SSD_F5_C</vt:lpstr>
      <vt:lpstr>SSD_F5_D</vt:lpstr>
      <vt:lpstr>SSD_F5_E</vt:lpstr>
      <vt:lpstr>SSD_F5_F</vt:lpstr>
      <vt:lpstr>SSD_sel</vt:lpstr>
      <vt:lpstr>tsh_F1</vt:lpstr>
      <vt:lpstr>tsh_F2</vt:lpstr>
      <vt:lpstr>tsh_F3</vt:lpstr>
      <vt:lpstr>tsh_F4</vt:lpstr>
      <vt:lpstr>tsh_F5</vt:lpstr>
      <vt:lpstr>tsh_sel</vt:lpstr>
      <vt:lpstr>Verif_date</vt:lpstr>
    </vt:vector>
  </TitlesOfParts>
  <Company>Barwon Health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NELLI</dc:creator>
  <dc:description>Revised version: ~2% increase on D'o due to spotted problem with energy absortion coefficient water air in abs dosimetry. fn 25-8-2015</dc:description>
  <cp:lastModifiedBy>fn</cp:lastModifiedBy>
  <cp:lastPrinted>2015-08-11T10:21:53Z</cp:lastPrinted>
  <dcterms:created xsi:type="dcterms:W3CDTF">2015-05-21T04:12:23Z</dcterms:created>
  <dcterms:modified xsi:type="dcterms:W3CDTF">2016-07-21T05:53:08Z</dcterms:modified>
</cp:coreProperties>
</file>