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45" windowWidth="27795" windowHeight="12585"/>
  </bookViews>
  <sheets>
    <sheet name="General formalism" sheetId="5" r:id="rId1"/>
    <sheet name="D0_tshutter_SSD" sheetId="1" r:id="rId2"/>
    <sheet name="Bw" sheetId="2" r:id="rId3"/>
    <sheet name="PDD-mm" sheetId="4" r:id="rId4"/>
    <sheet name="PDD" sheetId="3" r:id="rId5"/>
    <sheet name="PDD_charts" sheetId="7" r:id="rId6"/>
    <sheet name="Att-w" sheetId="6" r:id="rId7"/>
  </sheets>
  <functionGroups builtInGroupCount="17"/>
  <externalReferences>
    <externalReference r:id="rId8"/>
    <externalReference r:id="rId9"/>
    <externalReference r:id="rId10"/>
    <externalReference r:id="rId11"/>
  </externalReferences>
  <definedNames>
    <definedName name="Bw_corr">[1]time_calc!$L$30</definedName>
    <definedName name="Bw_sel">[1]time_calc!$H$30</definedName>
    <definedName name="D_F1_A" localSheetId="0">'General formalism'!#REF!</definedName>
    <definedName name="D_F1_A">D0_tshutter_SSD!$C$10</definedName>
    <definedName name="D_F1_B" localSheetId="0">'General formalism'!#REF!</definedName>
    <definedName name="D_F1_B">D0_tshutter_SSD!$C$11</definedName>
    <definedName name="D_F1_C" localSheetId="0">'General formalism'!#REF!</definedName>
    <definedName name="D_F1_C">D0_tshutter_SSD!$C$12</definedName>
    <definedName name="D_F1_D" localSheetId="0">'General formalism'!#REF!</definedName>
    <definedName name="D_F1_D">D0_tshutter_SSD!$C$13</definedName>
    <definedName name="D_F1_E" localSheetId="0">'General formalism'!#REF!</definedName>
    <definedName name="D_F1_E">D0_tshutter_SSD!$C$14</definedName>
    <definedName name="D_F1_F" localSheetId="0">'General formalism'!#REF!</definedName>
    <definedName name="D_F1_F">D0_tshutter_SSD!$C$15</definedName>
    <definedName name="D_F2_A" localSheetId="0">'General formalism'!#REF!</definedName>
    <definedName name="D_F2_A">D0_tshutter_SSD!$D$10</definedName>
    <definedName name="D_F2_B" localSheetId="0">'General formalism'!#REF!</definedName>
    <definedName name="D_F2_B">D0_tshutter_SSD!$D$11</definedName>
    <definedName name="D_F2_C" localSheetId="0">'General formalism'!#REF!</definedName>
    <definedName name="D_F2_C">D0_tshutter_SSD!$D$12</definedName>
    <definedName name="D_F2_D" localSheetId="0">'General formalism'!#REF!</definedName>
    <definedName name="D_F2_D">D0_tshutter_SSD!$D$13</definedName>
    <definedName name="D_F2_E" localSheetId="0">'General formalism'!#REF!</definedName>
    <definedName name="D_F2_E">D0_tshutter_SSD!$D$14</definedName>
    <definedName name="D_F2_F" localSheetId="0">'General formalism'!#REF!</definedName>
    <definedName name="D_F2_F">D0_tshutter_SSD!$D$15</definedName>
    <definedName name="D_F3_A" localSheetId="0">'General formalism'!#REF!</definedName>
    <definedName name="D_F3_A">D0_tshutter_SSD!$E$10</definedName>
    <definedName name="D_F3_B" localSheetId="0">'General formalism'!#REF!</definedName>
    <definedName name="D_F3_B">D0_tshutter_SSD!$E$11</definedName>
    <definedName name="D_F3_C" localSheetId="0">'General formalism'!#REF!</definedName>
    <definedName name="D_F3_C">D0_tshutter_SSD!$E$12</definedName>
    <definedName name="D_F3_D" localSheetId="0">'General formalism'!#REF!</definedName>
    <definedName name="D_F3_D">D0_tshutter_SSD!$E$13</definedName>
    <definedName name="D_F3_E" localSheetId="0">'General formalism'!#REF!</definedName>
    <definedName name="D_F3_E">D0_tshutter_SSD!$E$14</definedName>
    <definedName name="D_F3_F" localSheetId="0">'General formalism'!#REF!</definedName>
    <definedName name="D_F3_F">D0_tshutter_SSD!$E$15</definedName>
    <definedName name="D_F4_A" localSheetId="0">'General formalism'!#REF!</definedName>
    <definedName name="D_F4_A">D0_tshutter_SSD!$F$10</definedName>
    <definedName name="D_F4_B" localSheetId="0">'General formalism'!#REF!</definedName>
    <definedName name="D_F4_B">D0_tshutter_SSD!$F$11</definedName>
    <definedName name="D_F4_C" localSheetId="0">'General formalism'!#REF!</definedName>
    <definedName name="D_F4_C">D0_tshutter_SSD!$F$12</definedName>
    <definedName name="D_F4_D" localSheetId="0">'General formalism'!#REF!</definedName>
    <definedName name="D_F4_D">D0_tshutter_SSD!$F$13</definedName>
    <definedName name="D_F4_E" localSheetId="0">'General formalism'!#REF!</definedName>
    <definedName name="D_F4_E">D0_tshutter_SSD!$F$14</definedName>
    <definedName name="D_F4_F" localSheetId="0">'General formalism'!#REF!</definedName>
    <definedName name="D_F4_F">D0_tshutter_SSD!$F$15</definedName>
    <definedName name="D_F5_A" localSheetId="0">'General formalism'!#REF!</definedName>
    <definedName name="D_F5_A">D0_tshutter_SSD!$G$10</definedName>
    <definedName name="D_F5_B" localSheetId="0">'General formalism'!#REF!</definedName>
    <definedName name="D_F5_B">D0_tshutter_SSD!$G$11</definedName>
    <definedName name="D_F5_C" localSheetId="0">'General formalism'!#REF!</definedName>
    <definedName name="D_F5_C">D0_tshutter_SSD!$G$12</definedName>
    <definedName name="D_F5_D" localSheetId="0">'General formalism'!#REF!</definedName>
    <definedName name="D_F5_D">D0_tshutter_SSD!$G$13</definedName>
    <definedName name="D_F5_E" localSheetId="0">'General formalism'!#REF!</definedName>
    <definedName name="D_F5_E">D0_tshutter_SSD!$G$14</definedName>
    <definedName name="D_F5_F" localSheetId="0">'General formalism'!#REF!</definedName>
    <definedName name="D_F5_F">D0_tshutter_SSD!$G$15</definedName>
    <definedName name="D0_sel">[1]time_calc!$B$33</definedName>
    <definedName name="diam_Appl" localSheetId="0">[1]time_calc!#REF!</definedName>
    <definedName name="diam_Appl" localSheetId="5">[1]time_calc!#REF!</definedName>
    <definedName name="diam_Appl" localSheetId="3">[1]time_calc!#REF!</definedName>
    <definedName name="diam_Appl">[1]time_calc!#REF!</definedName>
    <definedName name="diam_Appl_Sel">[1]time_calc!$C$32</definedName>
    <definedName name="diameter">'[1]B-calc-reg'!$C$8</definedName>
    <definedName name="dofPDD_sel" localSheetId="0">[1]time_calc!#REF!</definedName>
    <definedName name="dofPDD_sel" localSheetId="5">[1]time_calc!#REF!</definedName>
    <definedName name="dofPDD_sel" localSheetId="3">[1]time_calc!#REF!</definedName>
    <definedName name="dofPDD_sel">[1]time_calc!#REF!</definedName>
    <definedName name="Dose_rate">[1]time_calc!$H$34</definedName>
    <definedName name="Dprescr">[1]time_calc!$C$37</definedName>
    <definedName name="equi_diameter">'[1]B-calc-reg'!$C$18</definedName>
    <definedName name="HVL_F1" localSheetId="0">'General formalism'!#REF!</definedName>
    <definedName name="HVL_F1">D0_tshutter_SSD!$C$29</definedName>
    <definedName name="HVL_F2" localSheetId="0">'General formalism'!#REF!</definedName>
    <definedName name="HVL_F2">D0_tshutter_SSD!$D$29</definedName>
    <definedName name="HVL_F3" localSheetId="0">'General formalism'!#REF!</definedName>
    <definedName name="HVL_F3">D0_tshutter_SSD!$E$29</definedName>
    <definedName name="HVL_F4" localSheetId="0">'General formalism'!#REF!</definedName>
    <definedName name="HVL_F4">D0_tshutter_SSD!$F$29</definedName>
    <definedName name="HVL_F5" localSheetId="0">'General formalism'!#REF!</definedName>
    <definedName name="HVL_F5">D0_tshutter_SSD!$G$29</definedName>
    <definedName name="HVL_sel">[1]time_calc!$D$31</definedName>
    <definedName name="ISL_sel">[1]time_calc!$K$32</definedName>
    <definedName name="kV_F1" localSheetId="0">'General formalism'!#REF!</definedName>
    <definedName name="kV_F1">D0_tshutter_SSD!$C$30</definedName>
    <definedName name="kV_F2" localSheetId="0">'General formalism'!#REF!</definedName>
    <definedName name="kV_F2">D0_tshutter_SSD!$D$30</definedName>
    <definedName name="kV_F3" localSheetId="0">'General formalism'!#REF!</definedName>
    <definedName name="kV_F3">D0_tshutter_SSD!$E$30</definedName>
    <definedName name="kV_F4" localSheetId="0">'General formalism'!#REF!</definedName>
    <definedName name="kV_F4">D0_tshutter_SSD!$F$30</definedName>
    <definedName name="kV_F5" localSheetId="0">'General formalism'!#REF!</definedName>
    <definedName name="kV_F5">D0_tshutter_SSD!$G$30</definedName>
    <definedName name="LackBw_depth" localSheetId="0">[1]time_calc!#REF!</definedName>
    <definedName name="LackBw_depth" localSheetId="5">[1]time_calc!#REF!</definedName>
    <definedName name="LackBw_depth" localSheetId="3">[1]time_calc!#REF!</definedName>
    <definedName name="LackBw_depth">[1]time_calc!#REF!</definedName>
    <definedName name="LackBw_dpt_tit" localSheetId="0">[1]time_calc!#REF!</definedName>
    <definedName name="LackBw_dpt_tit" localSheetId="5">[1]time_calc!#REF!</definedName>
    <definedName name="LackBw_dpt_tit" localSheetId="3">[1]time_calc!#REF!</definedName>
    <definedName name="LackBw_dpt_tit">[1]time_calc!#REF!</definedName>
    <definedName name="LackBw_fr" localSheetId="0">[1]time_calc!#REF!</definedName>
    <definedName name="LackBw_fr" localSheetId="5">[1]time_calc!#REF!</definedName>
    <definedName name="LackBw_fr" localSheetId="3">[1]time_calc!#REF!</definedName>
    <definedName name="LackBw_fr">[1]time_calc!#REF!</definedName>
    <definedName name="LackBw_fr_tit" localSheetId="0">[1]time_calc!#REF!</definedName>
    <definedName name="LackBw_fr_tit" localSheetId="5">[1]time_calc!#REF!</definedName>
    <definedName name="LackBw_fr_tit" localSheetId="3">[1]time_calc!#REF!</definedName>
    <definedName name="LackBw_fr_tit">[1]time_calc!#REF!</definedName>
    <definedName name="major_ax">'[1]B-calc-reg'!$C$15</definedName>
    <definedName name="minor_ax">'[1]B-calc-reg'!$C$16</definedName>
    <definedName name="mu_F1_15" localSheetId="5">PDD_charts!#REF!</definedName>
    <definedName name="mu_F1_15" localSheetId="3">'PDD-mm'!$H$5</definedName>
    <definedName name="mu_F1_15">PDD!$H$5</definedName>
    <definedName name="mu_F1_25" localSheetId="5">PDD_charts!#REF!</definedName>
    <definedName name="mu_F1_25" localSheetId="3">'PDD-mm'!$H$20</definedName>
    <definedName name="mu_F1_25">PDD!$H$17</definedName>
    <definedName name="mu_F2_15" localSheetId="5">PDD_charts!#REF!</definedName>
    <definedName name="mu_F2_15" localSheetId="3">'PDD-mm'!$H$40</definedName>
    <definedName name="mu_F2_15">PDD!$H$34</definedName>
    <definedName name="mu_F2_25" localSheetId="5">PDD_charts!#REF!</definedName>
    <definedName name="mu_F2_25" localSheetId="3">'PDD-mm'!$H$58</definedName>
    <definedName name="mu_F2_25">PDD!$H$47</definedName>
    <definedName name="mu_F3_15" localSheetId="5">PDD_charts!#REF!</definedName>
    <definedName name="mu_F3_15" localSheetId="3">'PDD-mm'!$H$82</definedName>
    <definedName name="mu_F3_15">PDD!$H$65</definedName>
    <definedName name="mu_F3_25" localSheetId="5">PDD_charts!#REF!</definedName>
    <definedName name="mu_F3_25" localSheetId="3">'PDD-mm'!$H$100</definedName>
    <definedName name="mu_F3_25">PDD!$H$79</definedName>
    <definedName name="mu_F4_15" localSheetId="5">PDD_charts!#REF!</definedName>
    <definedName name="mu_F4_15" localSheetId="3">'PDD-mm'!$H$123</definedName>
    <definedName name="mu_F4_15">PDD!$H$99</definedName>
    <definedName name="mu_F4_25" localSheetId="5">PDD_charts!#REF!</definedName>
    <definedName name="mu_F4_25" localSheetId="3">'PDD-mm'!$H$142</definedName>
    <definedName name="mu_F4_25">PDD!$H$114</definedName>
    <definedName name="mu_F5_15" localSheetId="5">PDD_charts!#REF!</definedName>
    <definedName name="mu_F5_15" localSheetId="3">'PDD-mm'!$H$166</definedName>
    <definedName name="mu_F5_15">PDD!$H$134</definedName>
    <definedName name="mu_F5_25" localSheetId="5">PDD_charts!#REF!</definedName>
    <definedName name="mu_F5_25" localSheetId="3">'PDD-mm'!$H$185</definedName>
    <definedName name="mu_F5_25">PDD!$H$149</definedName>
    <definedName name="PDD_sel">[1]time_calc!$C$38</definedName>
    <definedName name="Presc_gap">[1]time_calc!$J$20</definedName>
    <definedName name="SSD_F1_A" localSheetId="0">'General formalism'!#REF!</definedName>
    <definedName name="SSD_F1_A">D0_tshutter_SSD!$C$37</definedName>
    <definedName name="SSD_F1_B" localSheetId="0">'General formalism'!#REF!</definedName>
    <definedName name="SSD_F1_B">D0_tshutter_SSD!$C$38</definedName>
    <definedName name="SSD_F1_C" localSheetId="0">'General formalism'!#REF!</definedName>
    <definedName name="SSD_F1_C">D0_tshutter_SSD!$C$39</definedName>
    <definedName name="SSD_F1_D" localSheetId="0">'General formalism'!#REF!</definedName>
    <definedName name="SSD_F1_D">D0_tshutter_SSD!$C$40</definedName>
    <definedName name="SSD_F1_E" localSheetId="0">'General formalism'!#REF!</definedName>
    <definedName name="SSD_F1_E">D0_tshutter_SSD!$C$41</definedName>
    <definedName name="SSD_F1_F" localSheetId="0">'General formalism'!#REF!</definedName>
    <definedName name="SSD_F1_F">D0_tshutter_SSD!$C$42</definedName>
    <definedName name="SSD_F2_A" localSheetId="0">'General formalism'!#REF!</definedName>
    <definedName name="SSD_F2_A">D0_tshutter_SSD!$D$37</definedName>
    <definedName name="SSD_F2_B" localSheetId="0">'General formalism'!#REF!</definedName>
    <definedName name="SSD_F2_B">D0_tshutter_SSD!$D$38</definedName>
    <definedName name="SSD_F2_C" localSheetId="0">'General formalism'!#REF!</definedName>
    <definedName name="SSD_F2_C">D0_tshutter_SSD!$D$39</definedName>
    <definedName name="SSD_F2_D" localSheetId="0">'General formalism'!#REF!</definedName>
    <definedName name="SSD_F2_D">D0_tshutter_SSD!$D$40</definedName>
    <definedName name="SSD_F2_E" localSheetId="0">'General formalism'!#REF!</definedName>
    <definedName name="SSD_F2_E">D0_tshutter_SSD!$D$41</definedName>
    <definedName name="SSD_F2_F" localSheetId="0">'General formalism'!#REF!</definedName>
    <definedName name="SSD_F2_F">D0_tshutter_SSD!$D$42</definedName>
    <definedName name="SSD_F3_A" localSheetId="0">'General formalism'!#REF!</definedName>
    <definedName name="SSD_F3_A">D0_tshutter_SSD!$E$37</definedName>
    <definedName name="SSD_F3_B" localSheetId="0">'General formalism'!#REF!</definedName>
    <definedName name="SSD_F3_B">D0_tshutter_SSD!$E$38</definedName>
    <definedName name="SSD_F3_C" localSheetId="0">'General formalism'!#REF!</definedName>
    <definedName name="SSD_F3_C">D0_tshutter_SSD!$E$39</definedName>
    <definedName name="SSD_F3_D" localSheetId="0">'General formalism'!#REF!</definedName>
    <definedName name="SSD_F3_D">D0_tshutter_SSD!$E$40</definedName>
    <definedName name="SSD_F3_E" localSheetId="0">'General formalism'!#REF!</definedName>
    <definedName name="SSD_F3_E">D0_tshutter_SSD!$E$41</definedName>
    <definedName name="SSD_F3_F" localSheetId="0">'General formalism'!#REF!</definedName>
    <definedName name="SSD_F3_F">D0_tshutter_SSD!$E$42</definedName>
    <definedName name="SSD_F4_A" localSheetId="0">'General formalism'!#REF!</definedName>
    <definedName name="SSD_F4_A">D0_tshutter_SSD!$F$37</definedName>
    <definedName name="SSD_F4_B" localSheetId="0">'General formalism'!#REF!</definedName>
    <definedName name="SSD_F4_B">D0_tshutter_SSD!$F$38</definedName>
    <definedName name="SSD_F4_C" localSheetId="0">'General formalism'!#REF!</definedName>
    <definedName name="SSD_F4_C">D0_tshutter_SSD!$F$39</definedName>
    <definedName name="SSD_F4_D" localSheetId="0">'General formalism'!#REF!</definedName>
    <definedName name="SSD_F4_D">D0_tshutter_SSD!$F$40</definedName>
    <definedName name="SSD_F4_E" localSheetId="0">'General formalism'!#REF!</definedName>
    <definedName name="SSD_F4_E">D0_tshutter_SSD!$F$41</definedName>
    <definedName name="SSD_F4_F" localSheetId="0">'General formalism'!#REF!</definedName>
    <definedName name="SSD_F4_F">D0_tshutter_SSD!$F$42</definedName>
    <definedName name="SSD_F5_A" localSheetId="0">'General formalism'!#REF!</definedName>
    <definedName name="SSD_F5_A">D0_tshutter_SSD!$G$37</definedName>
    <definedName name="SSD_F5_B" localSheetId="0">'General formalism'!#REF!</definedName>
    <definedName name="SSD_F5_B">D0_tshutter_SSD!$G$38</definedName>
    <definedName name="SSD_F5_C" localSheetId="0">'General formalism'!#REF!</definedName>
    <definedName name="SSD_F5_C">D0_tshutter_SSD!$G$39</definedName>
    <definedName name="SSD_F5_D" localSheetId="0">'General formalism'!#REF!</definedName>
    <definedName name="SSD_F5_D">D0_tshutter_SSD!$G$40</definedName>
    <definedName name="SSD_F5_E" localSheetId="0">'General formalism'!#REF!</definedName>
    <definedName name="SSD_F5_E">D0_tshutter_SSD!$G$41</definedName>
    <definedName name="SSD_F5_F" localSheetId="0">'General formalism'!#REF!</definedName>
    <definedName name="SSD_F5_F">D0_tshutter_SSD!$G$42</definedName>
    <definedName name="SSD_sel">[1]time_calc!$H$32</definedName>
    <definedName name="tsh_F1" localSheetId="0">'General formalism'!#REF!</definedName>
    <definedName name="tsh_F1">D0_tshutter_SSD!$C$22</definedName>
    <definedName name="tsh_F2" localSheetId="0">'General formalism'!#REF!</definedName>
    <definedName name="tsh_F2">D0_tshutter_SSD!$D$22</definedName>
    <definedName name="tsh_F3" localSheetId="0">'General formalism'!#REF!</definedName>
    <definedName name="tsh_F3">D0_tshutter_SSD!$E$22</definedName>
    <definedName name="tsh_F4" localSheetId="0">'General formalism'!#REF!</definedName>
    <definedName name="tsh_F4">D0_tshutter_SSD!$F$22</definedName>
    <definedName name="tsh_F5" localSheetId="0">'General formalism'!#REF!</definedName>
    <definedName name="tsh_F5">D0_tshutter_SSD!$G$22</definedName>
    <definedName name="tsh_sel">[1]time_calc!$B$34</definedName>
  </definedNames>
  <calcPr calcId="145621"/>
</workbook>
</file>

<file path=xl/calcChain.xml><?xml version="1.0" encoding="utf-8"?>
<calcChain xmlns="http://schemas.openxmlformats.org/spreadsheetml/2006/main">
  <c r="G23" i="4" l="1"/>
  <c r="H23" i="4"/>
  <c r="I23" i="4"/>
  <c r="H8" i="4"/>
  <c r="G8" i="4"/>
  <c r="H7" i="4"/>
  <c r="G7" i="4"/>
  <c r="F7" i="4"/>
  <c r="I22" i="4"/>
  <c r="H22" i="4"/>
  <c r="F22" i="4"/>
  <c r="G22" i="4"/>
  <c r="G42" i="1"/>
  <c r="F42" i="1"/>
  <c r="E42" i="1"/>
  <c r="D42" i="1"/>
  <c r="C42" i="1"/>
  <c r="G41" i="1"/>
  <c r="F41" i="1"/>
  <c r="E41" i="1"/>
  <c r="D41" i="1"/>
  <c r="C41" i="1"/>
  <c r="G40" i="1"/>
  <c r="F40" i="1"/>
  <c r="E40" i="1"/>
  <c r="D40" i="1"/>
  <c r="C40" i="1"/>
  <c r="G39" i="1"/>
  <c r="F39" i="1"/>
  <c r="E39" i="1"/>
  <c r="D39" i="1"/>
  <c r="C39" i="1"/>
  <c r="G38" i="1"/>
  <c r="F38" i="1"/>
  <c r="E38" i="1"/>
  <c r="D38" i="1"/>
  <c r="C38" i="1"/>
  <c r="G37" i="1"/>
  <c r="F37" i="1"/>
  <c r="E37" i="1"/>
  <c r="D37" i="1"/>
  <c r="C37" i="1"/>
  <c r="G22" i="1"/>
  <c r="F22" i="1"/>
  <c r="E22" i="1"/>
  <c r="D22" i="1"/>
  <c r="C22" i="1"/>
  <c r="G15" i="1"/>
  <c r="F15" i="1"/>
  <c r="E15" i="1"/>
  <c r="D15" i="1"/>
  <c r="C15" i="1"/>
  <c r="G14" i="1"/>
  <c r="F14" i="1"/>
  <c r="E14" i="1"/>
  <c r="D14" i="1"/>
  <c r="C14" i="1"/>
  <c r="G13" i="1"/>
  <c r="F13" i="1"/>
  <c r="E13" i="1"/>
  <c r="D13" i="1"/>
  <c r="C13" i="1"/>
  <c r="G12" i="1"/>
  <c r="F12" i="1"/>
  <c r="E12" i="1"/>
  <c r="D12" i="1"/>
  <c r="C12" i="1"/>
  <c r="G11" i="1"/>
  <c r="F11" i="1"/>
  <c r="E11" i="1"/>
  <c r="D11" i="1"/>
  <c r="C11" i="1"/>
  <c r="G10" i="1"/>
  <c r="F10" i="1"/>
  <c r="E10" i="1"/>
  <c r="D10" i="1"/>
  <c r="C10" i="1"/>
  <c r="G29" i="1"/>
  <c r="F29" i="1"/>
  <c r="E29" i="1"/>
  <c r="D29" i="1"/>
  <c r="C29" i="1"/>
  <c r="B31" i="6"/>
  <c r="A31" i="6"/>
  <c r="N30" i="6"/>
  <c r="M30" i="6"/>
  <c r="K30" i="6"/>
  <c r="J30" i="6"/>
  <c r="H30" i="6"/>
  <c r="G30" i="6"/>
  <c r="E30" i="6"/>
  <c r="D30" i="6"/>
  <c r="B30" i="6"/>
  <c r="A30" i="6"/>
  <c r="N29" i="6"/>
  <c r="M29" i="6"/>
  <c r="K29" i="6"/>
  <c r="J29" i="6"/>
  <c r="H29" i="6"/>
  <c r="G29" i="6"/>
  <c r="E29" i="6"/>
  <c r="D29" i="6"/>
  <c r="B29" i="6"/>
  <c r="A29" i="6"/>
  <c r="N28" i="6"/>
  <c r="M28" i="6"/>
  <c r="K28" i="6"/>
  <c r="J28" i="6"/>
  <c r="H28" i="6"/>
  <c r="G28" i="6"/>
  <c r="E28" i="6"/>
  <c r="D28" i="6"/>
  <c r="B28" i="6"/>
  <c r="A28" i="6"/>
  <c r="N27" i="6"/>
  <c r="M27" i="6"/>
  <c r="K27" i="6"/>
  <c r="J27" i="6"/>
  <c r="H27" i="6"/>
  <c r="G27" i="6"/>
  <c r="E27" i="6"/>
  <c r="D27" i="6"/>
  <c r="B27" i="6"/>
  <c r="A27" i="6"/>
  <c r="N26" i="6"/>
  <c r="M26" i="6"/>
  <c r="K26" i="6"/>
  <c r="J26" i="6"/>
  <c r="H26" i="6"/>
  <c r="G26" i="6"/>
  <c r="E26" i="6"/>
  <c r="D26" i="6"/>
  <c r="B26" i="6"/>
  <c r="A26" i="6"/>
  <c r="N25" i="6"/>
  <c r="M25" i="6"/>
  <c r="K25" i="6"/>
  <c r="J25" i="6"/>
  <c r="H25" i="6"/>
  <c r="G25" i="6"/>
  <c r="E25" i="6"/>
  <c r="D25" i="6"/>
  <c r="B25" i="6"/>
  <c r="A25" i="6"/>
  <c r="N24" i="6"/>
  <c r="M24" i="6"/>
  <c r="K24" i="6"/>
  <c r="J24" i="6"/>
  <c r="H24" i="6"/>
  <c r="G24" i="6"/>
  <c r="E24" i="6"/>
  <c r="D24" i="6"/>
  <c r="B24" i="6"/>
  <c r="A24" i="6"/>
  <c r="N23" i="6"/>
  <c r="M23" i="6"/>
  <c r="K23" i="6"/>
  <c r="J23" i="6"/>
  <c r="H23" i="6"/>
  <c r="G23" i="6"/>
  <c r="E23" i="6"/>
  <c r="D23" i="6"/>
  <c r="B23" i="6"/>
  <c r="A23" i="6"/>
  <c r="N22" i="6"/>
  <c r="K22" i="6"/>
  <c r="H22" i="6"/>
  <c r="E22" i="6"/>
  <c r="B22" i="6"/>
  <c r="B13" i="6"/>
  <c r="A13" i="6"/>
  <c r="N12" i="6"/>
  <c r="M12" i="6"/>
  <c r="K12" i="6"/>
  <c r="J12" i="6"/>
  <c r="H12" i="6"/>
  <c r="G12" i="6"/>
  <c r="E12" i="6"/>
  <c r="D12" i="6"/>
  <c r="B12" i="6"/>
  <c r="A12" i="6"/>
  <c r="N11" i="6"/>
  <c r="M11" i="6"/>
  <c r="K11" i="6"/>
  <c r="J11" i="6"/>
  <c r="H11" i="6"/>
  <c r="G11" i="6"/>
  <c r="E11" i="6"/>
  <c r="D11" i="6"/>
  <c r="B11" i="6"/>
  <c r="A11" i="6"/>
  <c r="N10" i="6"/>
  <c r="M10" i="6"/>
  <c r="K10" i="6"/>
  <c r="J10" i="6"/>
  <c r="H10" i="6"/>
  <c r="G10" i="6"/>
  <c r="E10" i="6"/>
  <c r="D10" i="6"/>
  <c r="B10" i="6"/>
  <c r="A10" i="6"/>
  <c r="N9" i="6"/>
  <c r="M9" i="6"/>
  <c r="K9" i="6"/>
  <c r="J9" i="6"/>
  <c r="H9" i="6"/>
  <c r="G9" i="6"/>
  <c r="E9" i="6"/>
  <c r="D9" i="6"/>
  <c r="B9" i="6"/>
  <c r="A9" i="6"/>
  <c r="N8" i="6"/>
  <c r="M8" i="6"/>
  <c r="K8" i="6"/>
  <c r="J8" i="6"/>
  <c r="H8" i="6"/>
  <c r="G8" i="6"/>
  <c r="E8" i="6"/>
  <c r="D8" i="6"/>
  <c r="B8" i="6"/>
  <c r="A8" i="6"/>
  <c r="N7" i="6"/>
  <c r="M7" i="6"/>
  <c r="K7" i="6"/>
  <c r="J7" i="6"/>
  <c r="H7" i="6"/>
  <c r="G7" i="6"/>
  <c r="E7" i="6"/>
  <c r="D7" i="6"/>
  <c r="B7" i="6"/>
  <c r="A7" i="6"/>
  <c r="N6" i="6"/>
  <c r="M6" i="6"/>
  <c r="K6" i="6"/>
  <c r="J6" i="6"/>
  <c r="H6" i="6"/>
  <c r="G6" i="6"/>
  <c r="E6" i="6"/>
  <c r="D6" i="6"/>
  <c r="B6" i="6"/>
  <c r="A6" i="6"/>
  <c r="N5" i="6"/>
  <c r="M5" i="6"/>
  <c r="K5" i="6"/>
  <c r="J5" i="6"/>
  <c r="H5" i="6"/>
  <c r="G5" i="6"/>
  <c r="E5" i="6"/>
  <c r="D5" i="6"/>
  <c r="B5" i="6"/>
  <c r="A5" i="6"/>
  <c r="N4" i="6"/>
  <c r="K4" i="6"/>
  <c r="H4" i="6"/>
  <c r="E4" i="6"/>
  <c r="B4" i="6"/>
  <c r="J152" i="3"/>
  <c r="I152" i="3"/>
  <c r="H152" i="3"/>
  <c r="G152" i="3"/>
  <c r="F152" i="3"/>
  <c r="E152" i="3"/>
  <c r="D152" i="3"/>
  <c r="C152" i="3"/>
  <c r="B152" i="3"/>
  <c r="J151" i="3"/>
  <c r="I151" i="3"/>
  <c r="H151" i="3"/>
  <c r="G151" i="3"/>
  <c r="F151" i="3"/>
  <c r="E151" i="3"/>
  <c r="D151" i="3"/>
  <c r="I137" i="3"/>
  <c r="H137" i="3"/>
  <c r="G137" i="3"/>
  <c r="F137" i="3"/>
  <c r="E137" i="3"/>
  <c r="D137" i="3"/>
  <c r="C137" i="3"/>
  <c r="B137" i="3"/>
  <c r="I136" i="3"/>
  <c r="H136" i="3"/>
  <c r="G136" i="3"/>
  <c r="F136" i="3"/>
  <c r="E136" i="3"/>
  <c r="D136" i="3"/>
  <c r="J117" i="3"/>
  <c r="I117" i="3"/>
  <c r="H117" i="3"/>
  <c r="G117" i="3"/>
  <c r="F117" i="3"/>
  <c r="E117" i="3"/>
  <c r="D117" i="3"/>
  <c r="C117" i="3"/>
  <c r="B117" i="3"/>
  <c r="J116" i="3"/>
  <c r="I116" i="3"/>
  <c r="H116" i="3"/>
  <c r="G116" i="3"/>
  <c r="F116" i="3"/>
  <c r="E116" i="3"/>
  <c r="D116" i="3"/>
  <c r="I102" i="3"/>
  <c r="H102" i="3"/>
  <c r="G102" i="3"/>
  <c r="F102" i="3"/>
  <c r="E102" i="3"/>
  <c r="D102" i="3"/>
  <c r="C102" i="3"/>
  <c r="B102" i="3"/>
  <c r="I101" i="3"/>
  <c r="H101" i="3"/>
  <c r="G101" i="3"/>
  <c r="F101" i="3"/>
  <c r="E101" i="3"/>
  <c r="D101" i="3"/>
  <c r="J82" i="3"/>
  <c r="I82" i="3"/>
  <c r="H82" i="3"/>
  <c r="G82" i="3"/>
  <c r="F82" i="3"/>
  <c r="E82" i="3"/>
  <c r="D82" i="3"/>
  <c r="C82" i="3"/>
  <c r="B82" i="3"/>
  <c r="J81" i="3"/>
  <c r="I81" i="3"/>
  <c r="H81" i="3"/>
  <c r="G81" i="3"/>
  <c r="F81" i="3"/>
  <c r="E81" i="3"/>
  <c r="D81" i="3"/>
  <c r="I68" i="3"/>
  <c r="H68" i="3"/>
  <c r="G68" i="3"/>
  <c r="F68" i="3"/>
  <c r="E68" i="3"/>
  <c r="D68" i="3"/>
  <c r="C68" i="3"/>
  <c r="B68" i="3"/>
  <c r="I67" i="3"/>
  <c r="H67" i="3"/>
  <c r="G67" i="3"/>
  <c r="F67" i="3"/>
  <c r="E67" i="3"/>
  <c r="D67" i="3"/>
  <c r="J50" i="3"/>
  <c r="I50" i="3"/>
  <c r="H50" i="3"/>
  <c r="G50" i="3"/>
  <c r="F50" i="3"/>
  <c r="E50" i="3"/>
  <c r="D50" i="3"/>
  <c r="C50" i="3"/>
  <c r="B50" i="3"/>
  <c r="J49" i="3"/>
  <c r="I49" i="3"/>
  <c r="H49" i="3"/>
  <c r="G49" i="3"/>
  <c r="F49" i="3"/>
  <c r="E49" i="3"/>
  <c r="D49" i="3"/>
  <c r="I37" i="3"/>
  <c r="H37" i="3"/>
  <c r="G37" i="3"/>
  <c r="F37" i="3"/>
  <c r="E37" i="3"/>
  <c r="D37" i="3"/>
  <c r="C37" i="3"/>
  <c r="B37" i="3"/>
  <c r="I20" i="3"/>
  <c r="H20" i="3"/>
  <c r="G20" i="3"/>
  <c r="F20" i="3"/>
  <c r="E20" i="3"/>
  <c r="D20" i="3"/>
  <c r="C20" i="3"/>
  <c r="B20" i="3"/>
  <c r="G8" i="3"/>
  <c r="F8" i="3"/>
  <c r="E8" i="3"/>
  <c r="D8" i="3"/>
  <c r="C8" i="3"/>
  <c r="K188" i="4"/>
  <c r="J188" i="4"/>
  <c r="I188" i="4"/>
  <c r="H188" i="4"/>
  <c r="G188" i="4"/>
  <c r="F188" i="4"/>
  <c r="E188" i="4"/>
  <c r="D188" i="4"/>
  <c r="C188" i="4"/>
  <c r="K187" i="4"/>
  <c r="J187" i="4"/>
  <c r="I187" i="4"/>
  <c r="H187" i="4"/>
  <c r="G187" i="4"/>
  <c r="F187" i="4"/>
  <c r="E187" i="4"/>
  <c r="J169" i="4"/>
  <c r="I169" i="4"/>
  <c r="H169" i="4"/>
  <c r="G169" i="4"/>
  <c r="F169" i="4"/>
  <c r="E169" i="4"/>
  <c r="D169" i="4"/>
  <c r="C169" i="4"/>
  <c r="J168" i="4"/>
  <c r="I168" i="4"/>
  <c r="H168" i="4"/>
  <c r="G168" i="4"/>
  <c r="F168" i="4"/>
  <c r="E168" i="4"/>
  <c r="K145" i="4"/>
  <c r="J145" i="4"/>
  <c r="I145" i="4"/>
  <c r="H145" i="4"/>
  <c r="G145" i="4"/>
  <c r="F145" i="4"/>
  <c r="E145" i="4"/>
  <c r="D145" i="4"/>
  <c r="C145" i="4"/>
  <c r="K144" i="4"/>
  <c r="J144" i="4"/>
  <c r="I144" i="4"/>
  <c r="H144" i="4"/>
  <c r="G144" i="4"/>
  <c r="F144" i="4"/>
  <c r="E144" i="4"/>
  <c r="J126" i="4"/>
  <c r="I126" i="4"/>
  <c r="H126" i="4"/>
  <c r="G126" i="4"/>
  <c r="F126" i="4"/>
  <c r="E126" i="4"/>
  <c r="D126" i="4"/>
  <c r="C126" i="4"/>
  <c r="J125" i="4"/>
  <c r="I125" i="4"/>
  <c r="H125" i="4"/>
  <c r="G125" i="4"/>
  <c r="F125" i="4"/>
  <c r="E125" i="4"/>
  <c r="K103" i="4"/>
  <c r="J103" i="4"/>
  <c r="I103" i="4"/>
  <c r="H103" i="4"/>
  <c r="G103" i="4"/>
  <c r="F103" i="4"/>
  <c r="E103" i="4"/>
  <c r="D103" i="4"/>
  <c r="C103" i="4"/>
  <c r="K102" i="4"/>
  <c r="J102" i="4"/>
  <c r="I102" i="4"/>
  <c r="H102" i="4"/>
  <c r="G102" i="4"/>
  <c r="F102" i="4"/>
  <c r="E102" i="4"/>
  <c r="J85" i="4"/>
  <c r="I85" i="4"/>
  <c r="H85" i="4"/>
  <c r="G85" i="4"/>
  <c r="F85" i="4"/>
  <c r="E85" i="4"/>
  <c r="C85" i="4"/>
  <c r="J84" i="4"/>
  <c r="I84" i="4"/>
  <c r="H84" i="4"/>
  <c r="G84" i="4"/>
  <c r="F84" i="4"/>
  <c r="E84" i="4"/>
  <c r="J61" i="4"/>
  <c r="I61" i="4"/>
  <c r="H61" i="4"/>
  <c r="G61" i="4"/>
  <c r="F61" i="4"/>
  <c r="E61" i="4"/>
  <c r="D61" i="4"/>
  <c r="C61" i="4"/>
  <c r="J60" i="4"/>
  <c r="I60" i="4"/>
  <c r="H60" i="4"/>
  <c r="G60" i="4"/>
  <c r="F60" i="4"/>
  <c r="E60" i="4"/>
  <c r="D60" i="4"/>
  <c r="I43" i="4"/>
  <c r="H43" i="4"/>
  <c r="G43" i="4"/>
  <c r="F43" i="4"/>
  <c r="E43" i="4"/>
  <c r="D43" i="4"/>
  <c r="C43" i="4"/>
  <c r="I42" i="4"/>
  <c r="H42" i="4"/>
  <c r="G42" i="4"/>
  <c r="F42" i="4"/>
  <c r="E42" i="4"/>
  <c r="D42" i="4"/>
  <c r="C42" i="4"/>
  <c r="F23" i="4"/>
  <c r="E23" i="4"/>
  <c r="D23" i="4"/>
  <c r="C23" i="4"/>
  <c r="E22" i="4"/>
  <c r="D22" i="4"/>
  <c r="F8" i="4"/>
  <c r="E8" i="4"/>
  <c r="D8" i="4"/>
  <c r="C8" i="4"/>
  <c r="E7" i="4"/>
  <c r="D7" i="4"/>
  <c r="D124" i="3"/>
  <c r="H25" i="3"/>
  <c r="H172" i="4"/>
  <c r="E120" i="3"/>
  <c r="E138" i="3"/>
  <c r="H154" i="4"/>
  <c r="E89" i="3"/>
  <c r="F15" i="3"/>
  <c r="F88" i="4"/>
  <c r="I104" i="3"/>
  <c r="C109" i="3"/>
  <c r="D106" i="3"/>
  <c r="E24" i="3"/>
  <c r="C150" i="4"/>
  <c r="I110" i="3"/>
  <c r="G9" i="3"/>
  <c r="C155" i="4"/>
  <c r="F106" i="3"/>
  <c r="C120" i="3"/>
  <c r="G147" i="4"/>
  <c r="C76" i="3"/>
  <c r="D200" i="4"/>
  <c r="C69" i="4"/>
  <c r="F83" i="3"/>
  <c r="C88" i="3"/>
  <c r="G85" i="3"/>
  <c r="F199" i="4"/>
  <c r="C134" i="4"/>
  <c r="I72" i="4"/>
  <c r="J118" i="3"/>
  <c r="G122" i="3"/>
  <c r="D144" i="3"/>
  <c r="D177" i="4"/>
  <c r="I119" i="3"/>
  <c r="H51" i="3"/>
  <c r="C107" i="4"/>
  <c r="H10" i="4"/>
  <c r="I25" i="3"/>
  <c r="H119" i="3"/>
  <c r="J90" i="3"/>
  <c r="J149" i="4"/>
  <c r="C138" i="3"/>
  <c r="F124" i="3"/>
  <c r="C55" i="3"/>
  <c r="H58" i="3"/>
  <c r="H15" i="4"/>
  <c r="F90" i="3"/>
  <c r="G15" i="3"/>
  <c r="H195" i="4"/>
  <c r="C159" i="4"/>
  <c r="K198" i="4"/>
  <c r="E153" i="3"/>
  <c r="C86" i="3"/>
  <c r="C133" i="4"/>
  <c r="E21" i="3"/>
  <c r="K155" i="4"/>
  <c r="D182" i="4"/>
  <c r="D109" i="3"/>
  <c r="H12" i="4"/>
  <c r="D197" i="4"/>
  <c r="C146" i="3"/>
  <c r="C84" i="3"/>
  <c r="C131" i="4"/>
  <c r="F107" i="3"/>
  <c r="D58" i="3"/>
  <c r="C147" i="3"/>
  <c r="F122" i="3"/>
  <c r="C197" i="4"/>
  <c r="C149" i="4"/>
  <c r="J161" i="3"/>
  <c r="H103" i="3"/>
  <c r="I107" i="3"/>
  <c r="H157" i="3"/>
  <c r="C190" i="4"/>
  <c r="I127" i="3"/>
  <c r="C70" i="3"/>
  <c r="D114" i="4"/>
  <c r="H88" i="3"/>
  <c r="C45" i="3"/>
  <c r="H127" i="3"/>
  <c r="I108" i="3"/>
  <c r="F173" i="4"/>
  <c r="E155" i="3"/>
  <c r="G145" i="3"/>
  <c r="D76" i="3"/>
  <c r="C87" i="3"/>
  <c r="E81" i="2"/>
  <c r="C179" i="4"/>
  <c r="D156" i="4"/>
  <c r="G171" i="4"/>
  <c r="E13" i="3"/>
  <c r="G88" i="3"/>
  <c r="D194" i="4"/>
  <c r="I147" i="3"/>
  <c r="H109" i="3"/>
  <c r="H158" i="3"/>
  <c r="F70" i="3"/>
  <c r="K194" i="4"/>
  <c r="I154" i="3"/>
  <c r="C44" i="3"/>
  <c r="D154" i="3"/>
  <c r="F145" i="3"/>
  <c r="I126" i="3"/>
  <c r="F123" i="3"/>
  <c r="G69" i="3"/>
  <c r="J175" i="4"/>
  <c r="F143" i="3"/>
  <c r="D44" i="3"/>
  <c r="H161" i="3"/>
  <c r="C123" i="3"/>
  <c r="G25" i="3"/>
  <c r="G172" i="4"/>
  <c r="E28" i="4"/>
  <c r="E11" i="3"/>
  <c r="C23" i="3"/>
  <c r="G14" i="3"/>
  <c r="D154" i="4"/>
  <c r="E52" i="3"/>
  <c r="C121" i="3"/>
  <c r="E23" i="3"/>
  <c r="G170" i="4"/>
  <c r="I141" i="3"/>
  <c r="H87" i="3"/>
  <c r="F92" i="3"/>
  <c r="D23" i="3"/>
  <c r="F197" i="4"/>
  <c r="H140" i="3"/>
  <c r="D202" i="4"/>
  <c r="D199" i="4"/>
  <c r="D148" i="4"/>
  <c r="J159" i="3"/>
  <c r="E38" i="3"/>
  <c r="E107" i="3"/>
  <c r="E201" i="4"/>
  <c r="J160" i="3"/>
  <c r="D123" i="3"/>
  <c r="H11" i="4"/>
  <c r="F84" i="3"/>
  <c r="C202" i="4"/>
  <c r="I162" i="3"/>
  <c r="F76" i="3"/>
  <c r="F192" i="4"/>
  <c r="I161" i="3"/>
  <c r="E154" i="3"/>
  <c r="F144" i="3"/>
  <c r="E91" i="4"/>
  <c r="H66" i="4"/>
  <c r="F24" i="3"/>
  <c r="G13" i="3"/>
  <c r="G140" i="3"/>
  <c r="J122" i="3"/>
  <c r="I53" i="3"/>
  <c r="C24" i="3"/>
  <c r="D189" i="4"/>
  <c r="F39" i="3"/>
  <c r="H152" i="4"/>
  <c r="G118" i="3"/>
  <c r="G162" i="3"/>
  <c r="F154" i="3"/>
  <c r="D85" i="3"/>
  <c r="G56" i="3"/>
  <c r="D10" i="3"/>
  <c r="I71" i="3"/>
  <c r="J177" i="4"/>
  <c r="H145" i="3"/>
  <c r="F58" i="3"/>
  <c r="F108" i="3"/>
  <c r="F25" i="3"/>
  <c r="D127" i="3"/>
  <c r="F200" i="4"/>
  <c r="E198" i="4"/>
  <c r="G154" i="3"/>
  <c r="F140" i="3"/>
  <c r="E71" i="3"/>
  <c r="D43" i="3"/>
  <c r="E196" i="4"/>
  <c r="E53" i="3"/>
  <c r="I159" i="4"/>
  <c r="G126" i="3"/>
  <c r="I183" i="4"/>
  <c r="G86" i="3"/>
  <c r="D201" i="4"/>
  <c r="E75" i="3"/>
  <c r="G191" i="4"/>
  <c r="I159" i="3"/>
  <c r="K199" i="4"/>
  <c r="C125" i="3"/>
  <c r="G44" i="3"/>
  <c r="I175" i="4"/>
  <c r="H91" i="3"/>
  <c r="C196" i="4"/>
  <c r="K147" i="4"/>
  <c r="I88" i="3"/>
  <c r="H9" i="4"/>
  <c r="G155" i="3"/>
  <c r="J57" i="3"/>
  <c r="C193" i="4"/>
  <c r="I56" i="4"/>
  <c r="C56" i="3"/>
  <c r="D71" i="3"/>
  <c r="F69" i="3"/>
  <c r="G190" i="4"/>
  <c r="K190" i="4"/>
  <c r="D56" i="3"/>
  <c r="H144" i="3"/>
  <c r="F120" i="3"/>
  <c r="G77" i="3"/>
  <c r="D126" i="3"/>
  <c r="C38" i="3"/>
  <c r="H174" i="4"/>
  <c r="E122" i="3"/>
  <c r="D183" i="4"/>
  <c r="E110" i="3"/>
  <c r="G107" i="3"/>
  <c r="E90" i="3"/>
  <c r="J85" i="3"/>
  <c r="E51" i="3"/>
  <c r="K157" i="4"/>
  <c r="G124" i="3"/>
  <c r="I179" i="4"/>
  <c r="H153" i="3"/>
  <c r="G109" i="3"/>
  <c r="F9" i="3"/>
  <c r="J162" i="3"/>
  <c r="E11" i="4"/>
  <c r="E194" i="4"/>
  <c r="E199" i="4"/>
  <c r="F157" i="3"/>
  <c r="C162" i="3"/>
  <c r="C67" i="4"/>
  <c r="E17" i="4"/>
  <c r="I26" i="3"/>
  <c r="D42" i="3"/>
  <c r="E190" i="4"/>
  <c r="I45" i="3"/>
  <c r="H39" i="3"/>
  <c r="G12" i="4"/>
  <c r="H162" i="3"/>
  <c r="C21" i="3"/>
  <c r="C9" i="3"/>
  <c r="H104" i="3"/>
  <c r="J91" i="3"/>
  <c r="C144" i="3"/>
  <c r="I54" i="3"/>
  <c r="F21" i="3"/>
  <c r="H84" i="3"/>
  <c r="G153" i="3"/>
  <c r="J55" i="3"/>
  <c r="E191" i="4"/>
  <c r="H14" i="4"/>
  <c r="D120" i="3"/>
  <c r="J124" i="3"/>
  <c r="I55" i="3"/>
  <c r="E26" i="3"/>
  <c r="E98" i="4"/>
  <c r="J53" i="3"/>
  <c r="E44" i="3"/>
  <c r="J178" i="4"/>
  <c r="G183" i="4"/>
  <c r="I153" i="4"/>
  <c r="F162" i="3"/>
  <c r="F103" i="3"/>
  <c r="G75" i="3"/>
  <c r="C26" i="3"/>
  <c r="H85" i="3"/>
  <c r="I190" i="4"/>
  <c r="C159" i="3"/>
  <c r="H77" i="3"/>
  <c r="C127" i="3"/>
  <c r="I51" i="3"/>
  <c r="I181" i="4"/>
  <c r="H26" i="3"/>
  <c r="E15" i="3"/>
  <c r="F90" i="2"/>
  <c r="F156" i="4"/>
  <c r="D86" i="3"/>
  <c r="I84" i="3"/>
  <c r="F89" i="3"/>
  <c r="G105" i="3"/>
  <c r="C13" i="4"/>
  <c r="I199" i="4"/>
  <c r="H72" i="3"/>
  <c r="I76" i="3"/>
  <c r="D146" i="3"/>
  <c r="G157" i="4"/>
  <c r="D153" i="3"/>
  <c r="E12" i="3"/>
  <c r="D87" i="3"/>
  <c r="J86" i="3"/>
  <c r="D178" i="4"/>
  <c r="E77" i="3"/>
  <c r="F198" i="4"/>
  <c r="E58" i="3"/>
  <c r="J191" i="4"/>
  <c r="G73" i="3"/>
  <c r="H108" i="3"/>
  <c r="F158" i="3"/>
  <c r="C71" i="3"/>
  <c r="G72" i="3"/>
  <c r="I85" i="3"/>
  <c r="K112" i="4"/>
  <c r="H123" i="3"/>
  <c r="F98" i="4"/>
  <c r="I58" i="3"/>
  <c r="D51" i="4"/>
  <c r="C104" i="4"/>
  <c r="D41" i="3"/>
  <c r="C27" i="3"/>
  <c r="F26" i="3"/>
  <c r="J123" i="3"/>
  <c r="G176" i="4"/>
  <c r="I118" i="3"/>
  <c r="G23" i="3"/>
  <c r="D193" i="4"/>
  <c r="E154" i="4"/>
  <c r="C104" i="3"/>
  <c r="I121" i="3"/>
  <c r="J154" i="3"/>
  <c r="G159" i="3"/>
  <c r="C153" i="3"/>
  <c r="E139" i="3"/>
  <c r="C42" i="3"/>
  <c r="G11" i="3"/>
  <c r="F42" i="3"/>
  <c r="G138" i="3"/>
  <c r="D121" i="3"/>
  <c r="H111" i="3"/>
  <c r="I39" i="3"/>
  <c r="F20" i="2"/>
  <c r="I27" i="3"/>
  <c r="C126" i="3"/>
  <c r="G123" i="3"/>
  <c r="D113" i="4"/>
  <c r="F155" i="3"/>
  <c r="H196" i="4"/>
  <c r="I103" i="3"/>
  <c r="J157" i="3"/>
  <c r="D12" i="4"/>
  <c r="E76" i="3"/>
  <c r="I139" i="3"/>
  <c r="J58" i="3"/>
  <c r="G53" i="3"/>
  <c r="G89" i="3"/>
  <c r="E9" i="3"/>
  <c r="D172" i="4"/>
  <c r="D90" i="3"/>
  <c r="I87" i="3"/>
  <c r="D125" i="3"/>
  <c r="I77" i="3"/>
  <c r="D159" i="4"/>
  <c r="D138" i="3"/>
  <c r="I158" i="3"/>
  <c r="I144" i="3"/>
  <c r="E119" i="3"/>
  <c r="D14" i="4"/>
  <c r="I123" i="3"/>
  <c r="D105" i="3"/>
  <c r="H179" i="4"/>
  <c r="E55" i="3"/>
  <c r="C198" i="4"/>
  <c r="I140" i="3"/>
  <c r="J131" i="4"/>
  <c r="F91" i="3"/>
  <c r="D143" i="3"/>
  <c r="I124" i="3"/>
  <c r="C103" i="3"/>
  <c r="G62" i="2"/>
  <c r="C107" i="3"/>
  <c r="E56" i="3"/>
  <c r="H150" i="4"/>
  <c r="G22" i="3"/>
  <c r="J148" i="4"/>
  <c r="F14" i="3"/>
  <c r="F125" i="3"/>
  <c r="I74" i="4"/>
  <c r="D11" i="4"/>
  <c r="G68" i="4"/>
  <c r="E161" i="3"/>
  <c r="F104" i="4"/>
  <c r="D181" i="4"/>
  <c r="J158" i="3"/>
  <c r="I73" i="3"/>
  <c r="D103" i="3"/>
  <c r="H116" i="4"/>
  <c r="C51" i="3"/>
  <c r="H76" i="3"/>
  <c r="E141" i="3"/>
  <c r="I48" i="4"/>
  <c r="C157" i="3"/>
  <c r="F44" i="3"/>
  <c r="E111" i="4"/>
  <c r="G199" i="4"/>
  <c r="G48" i="2"/>
  <c r="F43" i="3"/>
  <c r="G26" i="4"/>
  <c r="F33" i="4"/>
  <c r="F12" i="3"/>
  <c r="E108" i="3"/>
  <c r="F127" i="3"/>
  <c r="D107" i="3"/>
  <c r="D111" i="3"/>
  <c r="E193" i="4"/>
  <c r="C72" i="3"/>
  <c r="K104" i="4"/>
  <c r="D45" i="4"/>
  <c r="F73" i="4"/>
  <c r="E27" i="4"/>
  <c r="C177" i="4"/>
  <c r="J106" i="4"/>
  <c r="D53" i="4"/>
  <c r="E12" i="4"/>
  <c r="G70" i="3"/>
  <c r="C112" i="3"/>
  <c r="F86" i="4"/>
  <c r="G58" i="3"/>
  <c r="E202" i="4"/>
  <c r="H13" i="4"/>
  <c r="H73" i="3"/>
  <c r="G106" i="3"/>
  <c r="K151" i="4"/>
  <c r="H142" i="3"/>
  <c r="J156" i="4"/>
  <c r="K115" i="4"/>
  <c r="I74" i="3"/>
  <c r="I86" i="3"/>
  <c r="D88" i="3"/>
  <c r="J140" i="4"/>
  <c r="I200" i="4"/>
  <c r="H173" i="4"/>
  <c r="G156" i="3"/>
  <c r="E142" i="3"/>
  <c r="J129" i="4"/>
  <c r="C119" i="3"/>
  <c r="G120" i="3"/>
  <c r="E22" i="3"/>
  <c r="D112" i="3"/>
  <c r="J171" i="4"/>
  <c r="D25" i="3"/>
  <c r="D170" i="4"/>
  <c r="C58" i="3"/>
  <c r="E111" i="3"/>
  <c r="D45" i="3"/>
  <c r="D179" i="4"/>
  <c r="K195" i="4"/>
  <c r="I90" i="3"/>
  <c r="G141" i="3"/>
  <c r="G189" i="4"/>
  <c r="J52" i="3"/>
  <c r="H69" i="3"/>
  <c r="F139" i="3"/>
  <c r="H180" i="4"/>
  <c r="C139" i="4"/>
  <c r="E106" i="3"/>
  <c r="D108" i="3"/>
  <c r="C141" i="3"/>
  <c r="E90" i="4"/>
  <c r="G125" i="3"/>
  <c r="J119" i="3"/>
  <c r="G173" i="4"/>
  <c r="D104" i="4"/>
  <c r="G192" i="4"/>
  <c r="G57" i="3"/>
  <c r="E162" i="3"/>
  <c r="I194" i="4"/>
  <c r="D89" i="4"/>
  <c r="H143" i="3"/>
  <c r="I156" i="3"/>
  <c r="C77" i="3"/>
  <c r="E74" i="3"/>
  <c r="F86" i="3"/>
  <c r="C90" i="3"/>
  <c r="F159" i="3"/>
  <c r="C147" i="4"/>
  <c r="F29" i="4"/>
  <c r="I105" i="3"/>
  <c r="H112" i="3"/>
  <c r="E175" i="4"/>
  <c r="I125" i="3"/>
  <c r="E52" i="4"/>
  <c r="H122" i="3"/>
  <c r="C65" i="4"/>
  <c r="H64" i="4"/>
  <c r="G104" i="3"/>
  <c r="D53" i="3"/>
  <c r="G177" i="4"/>
  <c r="H24" i="3"/>
  <c r="D158" i="3"/>
  <c r="H126" i="3"/>
  <c r="D151" i="4"/>
  <c r="E88" i="3"/>
  <c r="H31" i="4"/>
  <c r="I106" i="3"/>
  <c r="G30" i="4"/>
  <c r="H50" i="4"/>
  <c r="D83" i="3"/>
  <c r="F161" i="3"/>
  <c r="H157" i="4"/>
  <c r="F160" i="3"/>
  <c r="I156" i="4"/>
  <c r="C39" i="3"/>
  <c r="E125" i="3"/>
  <c r="H134" i="4"/>
  <c r="I73" i="4"/>
  <c r="C122" i="3"/>
  <c r="C146" i="4"/>
  <c r="D105" i="4"/>
  <c r="C75" i="3"/>
  <c r="D104" i="3"/>
  <c r="E109" i="3"/>
  <c r="I83" i="3"/>
  <c r="C175" i="4"/>
  <c r="E85" i="3"/>
  <c r="H23" i="3"/>
  <c r="C140" i="3"/>
  <c r="H193" i="4"/>
  <c r="H17" i="4"/>
  <c r="F191" i="4"/>
  <c r="J152" i="4"/>
  <c r="G147" i="3"/>
  <c r="J127" i="4"/>
  <c r="I21" i="3"/>
  <c r="G161" i="3"/>
  <c r="H125" i="3"/>
  <c r="I160" i="3"/>
  <c r="F138" i="3"/>
  <c r="C13" i="3"/>
  <c r="E72" i="3"/>
  <c r="G110" i="4"/>
  <c r="D89" i="3"/>
  <c r="E157" i="4"/>
  <c r="G197" i="4"/>
  <c r="G31" i="4"/>
  <c r="F40" i="3"/>
  <c r="E104" i="3"/>
  <c r="J127" i="3"/>
  <c r="G181" i="4"/>
  <c r="G109" i="4"/>
  <c r="G110" i="3"/>
  <c r="G158" i="4"/>
  <c r="H120" i="3"/>
  <c r="F93" i="4"/>
  <c r="D40" i="3"/>
  <c r="D51" i="3"/>
  <c r="H156" i="3"/>
  <c r="J150" i="4"/>
  <c r="J88" i="3"/>
  <c r="G160" i="3"/>
  <c r="G90" i="3"/>
  <c r="I149" i="4"/>
  <c r="J108" i="4"/>
  <c r="J179" i="4"/>
  <c r="I70" i="3"/>
  <c r="D70" i="3"/>
  <c r="H70" i="3"/>
  <c r="I44" i="3"/>
  <c r="C92" i="3"/>
  <c r="H155" i="3"/>
  <c r="D171" i="4"/>
  <c r="D160" i="3"/>
  <c r="F10" i="3"/>
  <c r="J120" i="3"/>
  <c r="G174" i="4"/>
  <c r="C157" i="4"/>
  <c r="I177" i="4"/>
  <c r="D9" i="4"/>
  <c r="F71" i="3"/>
  <c r="C66" i="4"/>
  <c r="H198" i="4"/>
  <c r="D147" i="4"/>
  <c r="H72" i="4"/>
  <c r="D159" i="3"/>
  <c r="D150" i="4"/>
  <c r="C156" i="3"/>
  <c r="C63" i="4"/>
  <c r="E157" i="3"/>
  <c r="J153" i="3"/>
  <c r="D195" i="4"/>
  <c r="C201" i="4"/>
  <c r="F54" i="4"/>
  <c r="F94" i="4"/>
  <c r="D39" i="3"/>
  <c r="G102" i="2"/>
  <c r="C22" i="3"/>
  <c r="J199" i="4"/>
  <c r="C160" i="3"/>
  <c r="E88" i="4"/>
  <c r="D175" i="4"/>
  <c r="D141" i="3"/>
  <c r="J172" i="4"/>
  <c r="K192" i="4"/>
  <c r="J181" i="4"/>
  <c r="H90" i="3"/>
  <c r="G111" i="3"/>
  <c r="H40" i="3"/>
  <c r="G198" i="4"/>
  <c r="D180" i="4"/>
  <c r="G121" i="3"/>
  <c r="J69" i="4"/>
  <c r="C151" i="4"/>
  <c r="E103" i="3"/>
  <c r="G153" i="4"/>
  <c r="I155" i="3"/>
  <c r="I151" i="4"/>
  <c r="E126" i="3"/>
  <c r="G26" i="3"/>
  <c r="C64" i="4"/>
  <c r="K191" i="4"/>
  <c r="H133" i="4"/>
  <c r="C40" i="3"/>
  <c r="H176" i="4"/>
  <c r="I136" i="4"/>
  <c r="J51" i="3"/>
  <c r="F14" i="4"/>
  <c r="D84" i="3"/>
  <c r="F11" i="2"/>
  <c r="E31" i="4"/>
  <c r="I57" i="3"/>
  <c r="J125" i="3"/>
  <c r="J155" i="3"/>
  <c r="C145" i="3"/>
  <c r="H44" i="3"/>
  <c r="F89" i="4"/>
  <c r="G157" i="3"/>
  <c r="E143" i="3"/>
  <c r="C53" i="3"/>
  <c r="J83" i="3"/>
  <c r="D97" i="4"/>
  <c r="F23" i="3"/>
  <c r="G54" i="3"/>
  <c r="D92" i="3"/>
  <c r="D27" i="4"/>
  <c r="D91" i="3"/>
  <c r="F22" i="3"/>
  <c r="G45" i="3"/>
  <c r="F24" i="4"/>
  <c r="J128" i="4"/>
  <c r="H146" i="4"/>
  <c r="E62" i="4"/>
  <c r="D52" i="4"/>
  <c r="G17" i="4"/>
  <c r="J136" i="4"/>
  <c r="J74" i="4"/>
  <c r="J73" i="4"/>
  <c r="I42" i="3"/>
  <c r="E87" i="3"/>
  <c r="F156" i="3"/>
  <c r="E91" i="3"/>
  <c r="H92" i="3"/>
  <c r="H42" i="3"/>
  <c r="E200" i="4"/>
  <c r="H16" i="4"/>
  <c r="D118" i="3"/>
  <c r="D139" i="3"/>
  <c r="F45" i="3"/>
  <c r="D158" i="4"/>
  <c r="D146" i="4"/>
  <c r="F193" i="4"/>
  <c r="I69" i="3"/>
  <c r="I128" i="4"/>
  <c r="F110" i="3"/>
  <c r="E121" i="3"/>
  <c r="J174" i="4"/>
  <c r="C25" i="3"/>
  <c r="H62" i="2"/>
  <c r="F154" i="4"/>
  <c r="G194" i="4"/>
  <c r="G159" i="4"/>
  <c r="F179" i="4"/>
  <c r="I138" i="3"/>
  <c r="F41" i="3"/>
  <c r="D27" i="3"/>
  <c r="G112" i="3"/>
  <c r="H147" i="3"/>
  <c r="G139" i="3"/>
  <c r="J197" i="4"/>
  <c r="H53" i="3"/>
  <c r="D32" i="2"/>
  <c r="F72" i="3"/>
  <c r="G158" i="3"/>
  <c r="I146" i="3"/>
  <c r="C143" i="3"/>
  <c r="E159" i="3"/>
  <c r="G178" i="4"/>
  <c r="F147" i="3"/>
  <c r="F77" i="3"/>
  <c r="E42" i="3"/>
  <c r="F96" i="4"/>
  <c r="J158" i="4"/>
  <c r="H21" i="3"/>
  <c r="H45" i="3"/>
  <c r="I32" i="4"/>
  <c r="C93" i="4"/>
  <c r="C161" i="3"/>
  <c r="D119" i="3"/>
  <c r="D14" i="3"/>
  <c r="E97" i="4"/>
  <c r="E57" i="3"/>
  <c r="I196" i="4"/>
  <c r="J182" i="4"/>
  <c r="K193" i="4"/>
  <c r="H89" i="3"/>
  <c r="C195" i="4"/>
  <c r="C192" i="4"/>
  <c r="D77" i="3"/>
  <c r="D72" i="3"/>
  <c r="F110" i="4"/>
  <c r="C10" i="3"/>
  <c r="E105" i="3"/>
  <c r="D74" i="3"/>
  <c r="C14" i="3"/>
  <c r="F153" i="3"/>
  <c r="D142" i="3"/>
  <c r="E148" i="4"/>
  <c r="J126" i="3"/>
  <c r="F118" i="3"/>
  <c r="J196" i="4"/>
  <c r="I109" i="4"/>
  <c r="D156" i="3"/>
  <c r="C52" i="3"/>
  <c r="E113" i="4"/>
  <c r="H41" i="3"/>
  <c r="G182" i="4"/>
  <c r="I112" i="3"/>
  <c r="F119" i="3"/>
  <c r="I134" i="4"/>
  <c r="F88" i="3"/>
  <c r="J92" i="3"/>
  <c r="D157" i="3"/>
  <c r="C72" i="4"/>
  <c r="D140" i="3"/>
  <c r="G87" i="3"/>
  <c r="C89" i="3"/>
  <c r="I33" i="4"/>
  <c r="F177" i="4"/>
  <c r="I189" i="4"/>
  <c r="D176" i="4"/>
  <c r="H124" i="3"/>
  <c r="J153" i="4"/>
  <c r="H189" i="4"/>
  <c r="G155" i="4"/>
  <c r="C83" i="3"/>
  <c r="H56" i="4"/>
  <c r="E146" i="3"/>
  <c r="H55" i="3"/>
  <c r="E158" i="3"/>
  <c r="E127" i="3"/>
  <c r="H83" i="3"/>
  <c r="H47" i="4"/>
  <c r="J71" i="4"/>
  <c r="C54" i="3"/>
  <c r="F57" i="3"/>
  <c r="E86" i="3"/>
  <c r="I173" i="4"/>
  <c r="K150" i="4"/>
  <c r="D69" i="3"/>
  <c r="D174" i="4"/>
  <c r="G119" i="3"/>
  <c r="D173" i="4"/>
  <c r="F112" i="3"/>
  <c r="J170" i="4"/>
  <c r="J87" i="3"/>
  <c r="E46" i="4"/>
  <c r="H22" i="3"/>
  <c r="F13" i="3"/>
  <c r="D133" i="4"/>
  <c r="I107" i="4"/>
  <c r="C51" i="4"/>
  <c r="F18" i="4"/>
  <c r="I133" i="4"/>
  <c r="I132" i="4"/>
  <c r="I131" i="4"/>
  <c r="I104" i="4"/>
  <c r="E15" i="4"/>
  <c r="J110" i="4"/>
  <c r="H48" i="2"/>
  <c r="H81" i="2"/>
  <c r="F128" i="4"/>
  <c r="E102" i="2"/>
  <c r="G27" i="3"/>
  <c r="H107" i="3"/>
  <c r="D91" i="4"/>
  <c r="D162" i="3"/>
  <c r="C46" i="4"/>
  <c r="H197" i="4"/>
  <c r="F183" i="4"/>
  <c r="C199" i="4"/>
  <c r="H181" i="4"/>
  <c r="F87" i="3"/>
  <c r="E112" i="3"/>
  <c r="E69" i="3"/>
  <c r="H182" i="4"/>
  <c r="D16" i="4"/>
  <c r="G84" i="3"/>
  <c r="J84" i="3"/>
  <c r="G200" i="4"/>
  <c r="D12" i="3"/>
  <c r="I62" i="4"/>
  <c r="J189" i="4"/>
  <c r="J193" i="4"/>
  <c r="I38" i="3"/>
  <c r="G25" i="4"/>
  <c r="F109" i="3"/>
  <c r="I43" i="3"/>
  <c r="C16" i="4"/>
  <c r="E147" i="4"/>
  <c r="F112" i="4"/>
  <c r="D161" i="3"/>
  <c r="F97" i="4"/>
  <c r="D111" i="4"/>
  <c r="F142" i="3"/>
  <c r="G91" i="3"/>
  <c r="H54" i="3"/>
  <c r="I72" i="3"/>
  <c r="E25" i="3"/>
  <c r="E140" i="3"/>
  <c r="C200" i="4"/>
  <c r="H27" i="4"/>
  <c r="I129" i="4"/>
  <c r="F75" i="3"/>
  <c r="G41" i="3"/>
  <c r="G32" i="4"/>
  <c r="C69" i="3"/>
  <c r="G40" i="3"/>
  <c r="F152" i="4"/>
  <c r="F111" i="4"/>
  <c r="F195" i="4"/>
  <c r="C158" i="3"/>
  <c r="I198" i="4"/>
  <c r="J201" i="4"/>
  <c r="K196" i="4"/>
  <c r="K200" i="4"/>
  <c r="H74" i="3"/>
  <c r="C129" i="4"/>
  <c r="F32" i="4"/>
  <c r="C181" i="4"/>
  <c r="E18" i="4"/>
  <c r="K152" i="4"/>
  <c r="C97" i="4"/>
  <c r="H33" i="4"/>
  <c r="G21" i="3"/>
  <c r="H127" i="4"/>
  <c r="G116" i="4"/>
  <c r="H115" i="4"/>
  <c r="I111" i="4"/>
  <c r="J86" i="4"/>
  <c r="H111" i="4"/>
  <c r="I192" i="4"/>
  <c r="J130" i="4"/>
  <c r="H67" i="4"/>
  <c r="C116" i="4"/>
  <c r="C112" i="4"/>
  <c r="C9" i="4"/>
  <c r="K113" i="4"/>
  <c r="H137" i="4"/>
  <c r="C111" i="4"/>
  <c r="C171" i="4"/>
  <c r="D129" i="4"/>
  <c r="G74" i="4"/>
  <c r="G135" i="4"/>
  <c r="D13" i="4"/>
  <c r="E64" i="4"/>
  <c r="G150" i="4"/>
  <c r="C49" i="4"/>
  <c r="F146" i="4"/>
  <c r="J98" i="4"/>
  <c r="D131" i="4"/>
  <c r="D192" i="4"/>
  <c r="G146" i="3"/>
  <c r="D94" i="4"/>
  <c r="E70" i="4"/>
  <c r="I71" i="4"/>
  <c r="F12" i="4"/>
  <c r="E96" i="4"/>
  <c r="D98" i="4"/>
  <c r="H175" i="4"/>
  <c r="H56" i="3"/>
  <c r="G142" i="3"/>
  <c r="E192" i="4"/>
  <c r="E170" i="4"/>
  <c r="C71" i="4"/>
  <c r="J72" i="4"/>
  <c r="E182" i="4"/>
  <c r="E158" i="4"/>
  <c r="D137" i="4"/>
  <c r="H86" i="4"/>
  <c r="E74" i="4"/>
  <c r="K159" i="4"/>
  <c r="E43" i="3"/>
  <c r="C105" i="3"/>
  <c r="H148" i="4"/>
  <c r="C41" i="3"/>
  <c r="I70" i="4"/>
  <c r="G43" i="3"/>
  <c r="I122" i="3"/>
  <c r="C154" i="2"/>
  <c r="E145" i="3"/>
  <c r="I49" i="4"/>
  <c r="I145" i="3"/>
  <c r="D55" i="3"/>
  <c r="G111" i="4"/>
  <c r="G108" i="3"/>
  <c r="J194" i="4"/>
  <c r="H75" i="3"/>
  <c r="G42" i="3"/>
  <c r="F104" i="3"/>
  <c r="I50" i="4"/>
  <c r="C85" i="3"/>
  <c r="H191" i="4"/>
  <c r="J138" i="4"/>
  <c r="F202" i="4"/>
  <c r="H139" i="3"/>
  <c r="F27" i="3"/>
  <c r="J56" i="3"/>
  <c r="C106" i="3"/>
  <c r="I171" i="4"/>
  <c r="C62" i="4"/>
  <c r="J183" i="4"/>
  <c r="E123" i="3"/>
  <c r="D13" i="3"/>
  <c r="F87" i="4"/>
  <c r="F159" i="4"/>
  <c r="E30" i="4"/>
  <c r="H121" i="3"/>
  <c r="E14" i="3"/>
  <c r="H154" i="3"/>
  <c r="K201" i="4"/>
  <c r="G127" i="3"/>
  <c r="I130" i="4"/>
  <c r="H108" i="4"/>
  <c r="K109" i="4"/>
  <c r="F196" i="4"/>
  <c r="D190" i="4"/>
  <c r="C154" i="4"/>
  <c r="D81" i="2"/>
  <c r="I65" i="4"/>
  <c r="C189" i="4"/>
  <c r="E180" i="4"/>
  <c r="H52" i="3"/>
  <c r="E90" i="2"/>
  <c r="D32" i="4"/>
  <c r="D93" i="4"/>
  <c r="E183" i="4"/>
  <c r="E112" i="4"/>
  <c r="H135" i="4"/>
  <c r="J96" i="4"/>
  <c r="G14" i="4"/>
  <c r="D128" i="4"/>
  <c r="H114" i="4"/>
  <c r="C54" i="4"/>
  <c r="C172" i="4"/>
  <c r="D25" i="4"/>
  <c r="D62" i="2"/>
  <c r="G103" i="3"/>
  <c r="J70" i="4"/>
  <c r="F153" i="4"/>
  <c r="J67" i="4"/>
  <c r="F157" i="4"/>
  <c r="J200" i="4"/>
  <c r="D96" i="4"/>
  <c r="H98" i="4"/>
  <c r="C55" i="4"/>
  <c r="D127" i="4"/>
  <c r="E128" i="4"/>
  <c r="E176" i="4"/>
  <c r="H129" i="4"/>
  <c r="H92" i="4"/>
  <c r="H202" i="4"/>
  <c r="G106" i="4"/>
  <c r="D11" i="3"/>
  <c r="I114" i="4"/>
  <c r="F138" i="4"/>
  <c r="H119" i="2"/>
  <c r="C136" i="4"/>
  <c r="D56" i="4"/>
  <c r="I53" i="4"/>
  <c r="J92" i="4"/>
  <c r="G140" i="4"/>
  <c r="I91" i="4"/>
  <c r="I54" i="4"/>
  <c r="C89" i="4"/>
  <c r="F171" i="4"/>
  <c r="D106" i="4"/>
  <c r="I191" i="4"/>
  <c r="E33" i="4"/>
  <c r="G72" i="4"/>
  <c r="D198" i="4"/>
  <c r="F71" i="4"/>
  <c r="F16" i="4"/>
  <c r="F52" i="3"/>
  <c r="J112" i="4"/>
  <c r="E131" i="4"/>
  <c r="G93" i="4"/>
  <c r="F172" i="4"/>
  <c r="E73" i="3"/>
  <c r="E13" i="4"/>
  <c r="C140" i="4"/>
  <c r="C28" i="4"/>
  <c r="E51" i="4"/>
  <c r="I52" i="3"/>
  <c r="H138" i="4"/>
  <c r="G47" i="4"/>
  <c r="I91" i="3"/>
  <c r="F181" i="4"/>
  <c r="I24" i="4"/>
  <c r="C70" i="4"/>
  <c r="D47" i="4"/>
  <c r="H53" i="4"/>
  <c r="H44" i="4"/>
  <c r="I106" i="4"/>
  <c r="C96" i="4"/>
  <c r="D136" i="4"/>
  <c r="H160" i="3"/>
  <c r="F53" i="4"/>
  <c r="F201" i="4"/>
  <c r="G83" i="3"/>
  <c r="G55" i="3"/>
  <c r="H136" i="4"/>
  <c r="D9" i="3"/>
  <c r="I56" i="3"/>
  <c r="E149" i="4"/>
  <c r="G202" i="4"/>
  <c r="I64" i="4"/>
  <c r="H106" i="3"/>
  <c r="D22" i="3"/>
  <c r="H155" i="4"/>
  <c r="D38" i="3"/>
  <c r="C118" i="3"/>
  <c r="F74" i="3"/>
  <c r="E83" i="3"/>
  <c r="H201" i="4"/>
  <c r="H74" i="4"/>
  <c r="I40" i="3"/>
  <c r="H171" i="4"/>
  <c r="J192" i="4"/>
  <c r="J173" i="4"/>
  <c r="H43" i="3"/>
  <c r="C138" i="4"/>
  <c r="C194" i="4"/>
  <c r="F111" i="3"/>
  <c r="I108" i="4"/>
  <c r="J68" i="4"/>
  <c r="H141" i="3"/>
  <c r="G193" i="4"/>
  <c r="D147" i="3"/>
  <c r="F11" i="3"/>
  <c r="C142" i="3"/>
  <c r="C91" i="4"/>
  <c r="J156" i="3"/>
  <c r="J195" i="4"/>
  <c r="D52" i="3"/>
  <c r="I142" i="3"/>
  <c r="J155" i="4"/>
  <c r="C183" i="4"/>
  <c r="D30" i="4"/>
  <c r="E45" i="3"/>
  <c r="C44" i="4"/>
  <c r="C50" i="4"/>
  <c r="H102" i="2"/>
  <c r="I66" i="4"/>
  <c r="G138" i="4"/>
  <c r="H54" i="4"/>
  <c r="G52" i="4"/>
  <c r="E156" i="3"/>
  <c r="F92" i="4"/>
  <c r="H89" i="4"/>
  <c r="F90" i="4"/>
  <c r="I27" i="4"/>
  <c r="C113" i="4"/>
  <c r="I90" i="4"/>
  <c r="F69" i="4"/>
  <c r="H71" i="4"/>
  <c r="F137" i="4"/>
  <c r="F127" i="4"/>
  <c r="G132" i="4"/>
  <c r="G39" i="3"/>
  <c r="G92" i="4"/>
  <c r="E69" i="4"/>
  <c r="H110" i="3"/>
  <c r="E152" i="4"/>
  <c r="F119" i="2"/>
  <c r="C87" i="4"/>
  <c r="K153" i="4"/>
  <c r="E95" i="4"/>
  <c r="C173" i="4"/>
  <c r="D130" i="4"/>
  <c r="H87" i="4"/>
  <c r="F48" i="4"/>
  <c r="I81" i="2"/>
  <c r="H29" i="4"/>
  <c r="E174" i="4"/>
  <c r="I113" i="4"/>
  <c r="I148" i="4"/>
  <c r="F63" i="4"/>
  <c r="H118" i="3"/>
  <c r="F73" i="3"/>
  <c r="K146" i="4"/>
  <c r="H11" i="2"/>
  <c r="F30" i="4"/>
  <c r="E56" i="4"/>
  <c r="C137" i="4"/>
  <c r="J62" i="4"/>
  <c r="D86" i="4"/>
  <c r="H88" i="4"/>
  <c r="D24" i="4"/>
  <c r="G95" i="4"/>
  <c r="C109" i="4"/>
  <c r="J151" i="4"/>
  <c r="I95" i="4"/>
  <c r="C94" i="4"/>
  <c r="E72" i="4"/>
  <c r="F174" i="4"/>
  <c r="E153" i="4"/>
  <c r="G92" i="3"/>
  <c r="I120" i="3"/>
  <c r="I155" i="4"/>
  <c r="C29" i="4"/>
  <c r="C151" i="2"/>
  <c r="E55" i="4"/>
  <c r="G112" i="4"/>
  <c r="C180" i="4"/>
  <c r="E109" i="4"/>
  <c r="G107" i="4"/>
  <c r="G63" i="4"/>
  <c r="H105" i="3"/>
  <c r="J63" i="4"/>
  <c r="G144" i="3"/>
  <c r="G24" i="3"/>
  <c r="C130" i="4"/>
  <c r="D54" i="3"/>
  <c r="G38" i="3"/>
  <c r="C91" i="3"/>
  <c r="D75" i="3"/>
  <c r="E124" i="3"/>
  <c r="J105" i="4"/>
  <c r="C132" i="4"/>
  <c r="H183" i="4"/>
  <c r="F48" i="2"/>
  <c r="I197" i="4"/>
  <c r="G71" i="3"/>
  <c r="E159" i="4"/>
  <c r="I202" i="4"/>
  <c r="E144" i="3"/>
  <c r="D57" i="3"/>
  <c r="C73" i="3"/>
  <c r="I195" i="4"/>
  <c r="G48" i="4"/>
  <c r="G151" i="4"/>
  <c r="E41" i="3"/>
  <c r="F56" i="3"/>
  <c r="G52" i="3"/>
  <c r="C154" i="3"/>
  <c r="I140" i="4"/>
  <c r="F10" i="4"/>
  <c r="G180" i="4"/>
  <c r="D31" i="4"/>
  <c r="H57" i="3"/>
  <c r="E155" i="4"/>
  <c r="C74" i="4"/>
  <c r="E147" i="3"/>
  <c r="H159" i="3"/>
  <c r="J202" i="4"/>
  <c r="G12" i="3"/>
  <c r="F85" i="3"/>
  <c r="D191" i="4"/>
  <c r="C26" i="4"/>
  <c r="J95" i="4"/>
  <c r="G88" i="4"/>
  <c r="F151" i="4"/>
  <c r="J65" i="4"/>
  <c r="I67" i="4"/>
  <c r="E151" i="4"/>
  <c r="F170" i="4"/>
  <c r="D54" i="4"/>
  <c r="I134" i="2"/>
  <c r="I157" i="4"/>
  <c r="I139" i="4"/>
  <c r="I92" i="3"/>
  <c r="D28" i="4"/>
  <c r="C114" i="4"/>
  <c r="H109" i="4"/>
  <c r="E130" i="4"/>
  <c r="H96" i="4"/>
  <c r="I88" i="4"/>
  <c r="C12" i="3"/>
  <c r="I201" i="4"/>
  <c r="H28" i="4"/>
  <c r="D55" i="4"/>
  <c r="C90" i="4"/>
  <c r="D119" i="2"/>
  <c r="J54" i="3"/>
  <c r="D17" i="4"/>
  <c r="K108" i="4"/>
  <c r="G54" i="4"/>
  <c r="D73" i="3"/>
  <c r="I193" i="4"/>
  <c r="J97" i="4"/>
  <c r="H107" i="4"/>
  <c r="G98" i="4"/>
  <c r="G65" i="4"/>
  <c r="F116" i="4"/>
  <c r="H131" i="4"/>
  <c r="D49" i="4"/>
  <c r="F135" i="4"/>
  <c r="F28" i="4"/>
  <c r="E132" i="4"/>
  <c r="F126" i="3"/>
  <c r="I109" i="3"/>
  <c r="G56" i="4"/>
  <c r="C48" i="4"/>
  <c r="F55" i="4"/>
  <c r="D11" i="2"/>
  <c r="J64" i="4"/>
  <c r="D87" i="4"/>
  <c r="G108" i="4"/>
  <c r="G104" i="4"/>
  <c r="E67" i="4"/>
  <c r="F102" i="2"/>
  <c r="H140" i="4"/>
  <c r="G11" i="4"/>
  <c r="F150" i="4"/>
  <c r="I105" i="4"/>
  <c r="D134" i="4"/>
  <c r="D48" i="4"/>
  <c r="H26" i="4"/>
  <c r="G44" i="4"/>
  <c r="G130" i="4"/>
  <c r="D140" i="4"/>
  <c r="J89" i="3"/>
  <c r="H190" i="4"/>
  <c r="G24" i="4"/>
  <c r="G28" i="4"/>
  <c r="G15" i="4"/>
  <c r="F54" i="3"/>
  <c r="F46" i="4"/>
  <c r="H49" i="4"/>
  <c r="C86" i="4"/>
  <c r="G90" i="4"/>
  <c r="C32" i="4"/>
  <c r="I178" i="4"/>
  <c r="H70" i="4"/>
  <c r="E10" i="3"/>
  <c r="E134" i="4"/>
  <c r="J91" i="4"/>
  <c r="D115" i="4"/>
  <c r="G27" i="4"/>
  <c r="D15" i="3"/>
  <c r="C24" i="4"/>
  <c r="I180" i="4"/>
  <c r="G87" i="4"/>
  <c r="E66" i="4"/>
  <c r="D116" i="4"/>
  <c r="C124" i="3"/>
  <c r="H38" i="3"/>
  <c r="H86" i="3"/>
  <c r="C98" i="4"/>
  <c r="G76" i="3"/>
  <c r="C68" i="4"/>
  <c r="J88" i="4"/>
  <c r="G137" i="4"/>
  <c r="G53" i="4"/>
  <c r="F129" i="4"/>
  <c r="E62" i="2"/>
  <c r="I86" i="4"/>
  <c r="J135" i="4"/>
  <c r="H130" i="4"/>
  <c r="F121" i="3"/>
  <c r="E70" i="3"/>
  <c r="E29" i="4"/>
  <c r="H199" i="4"/>
  <c r="D145" i="3"/>
  <c r="E197" i="4"/>
  <c r="H138" i="3"/>
  <c r="F105" i="3"/>
  <c r="J176" i="4"/>
  <c r="H18" i="4"/>
  <c r="G10" i="3"/>
  <c r="H128" i="4"/>
  <c r="H170" i="4"/>
  <c r="E84" i="3"/>
  <c r="I111" i="3"/>
  <c r="C15" i="3"/>
  <c r="D48" i="2"/>
  <c r="C108" i="3"/>
  <c r="E39" i="3"/>
  <c r="I157" i="3"/>
  <c r="I24" i="3"/>
  <c r="G179" i="4"/>
  <c r="C11" i="3"/>
  <c r="D21" i="3"/>
  <c r="F148" i="4"/>
  <c r="G175" i="4"/>
  <c r="C53" i="4"/>
  <c r="I51" i="4"/>
  <c r="E40" i="3"/>
  <c r="D122" i="3"/>
  <c r="G196" i="4"/>
  <c r="G143" i="3"/>
  <c r="E171" i="4"/>
  <c r="E160" i="3"/>
  <c r="C74" i="3"/>
  <c r="C128" i="4"/>
  <c r="H178" i="4"/>
  <c r="E92" i="3"/>
  <c r="E93" i="4"/>
  <c r="E53" i="4"/>
  <c r="F130" i="4"/>
  <c r="I116" i="4"/>
  <c r="J115" i="4"/>
  <c r="J114" i="4"/>
  <c r="I152" i="4"/>
  <c r="H20" i="2"/>
  <c r="I45" i="4"/>
  <c r="I98" i="4"/>
  <c r="F141" i="3"/>
  <c r="I22" i="3"/>
  <c r="F178" i="4"/>
  <c r="E89" i="4"/>
  <c r="E54" i="4"/>
  <c r="H139" i="4"/>
  <c r="D112" i="4"/>
  <c r="D139" i="4"/>
  <c r="C178" i="4"/>
  <c r="E137" i="4"/>
  <c r="E50" i="4"/>
  <c r="K116" i="4"/>
  <c r="F106" i="4"/>
  <c r="F72" i="4"/>
  <c r="G114" i="4"/>
  <c r="D72" i="4"/>
  <c r="D110" i="3"/>
  <c r="E24" i="4"/>
  <c r="J116" i="4"/>
  <c r="C153" i="2"/>
  <c r="C105" i="4"/>
  <c r="E94" i="4"/>
  <c r="F70" i="4"/>
  <c r="G66" i="4"/>
  <c r="C153" i="4"/>
  <c r="F68" i="4"/>
  <c r="C110" i="4"/>
  <c r="H106" i="4"/>
  <c r="C108" i="4"/>
  <c r="C12" i="4"/>
  <c r="I170" i="4"/>
  <c r="G134" i="2"/>
  <c r="H71" i="3"/>
  <c r="E14" i="4"/>
  <c r="F158" i="4"/>
  <c r="G96" i="4"/>
  <c r="H65" i="4"/>
  <c r="K114" i="4"/>
  <c r="D88" i="4"/>
  <c r="C135" i="4"/>
  <c r="G67" i="4"/>
  <c r="H73" i="4"/>
  <c r="G89" i="4"/>
  <c r="I28" i="4"/>
  <c r="J93" i="4"/>
  <c r="C95" i="4"/>
  <c r="F27" i="4"/>
  <c r="E116" i="4"/>
  <c r="C155" i="2"/>
  <c r="G113" i="4"/>
  <c r="G69" i="4"/>
  <c r="F105" i="4"/>
  <c r="H104" i="4"/>
  <c r="F56" i="4"/>
  <c r="I143" i="3"/>
  <c r="I41" i="3"/>
  <c r="G133" i="4"/>
  <c r="D69" i="4"/>
  <c r="G49" i="4"/>
  <c r="E104" i="4"/>
  <c r="C52" i="4"/>
  <c r="E105" i="4"/>
  <c r="F49" i="4"/>
  <c r="C14" i="4"/>
  <c r="D68" i="4"/>
  <c r="F189" i="4"/>
  <c r="G73" i="4"/>
  <c r="H69" i="4"/>
  <c r="D10" i="4"/>
  <c r="E108" i="4"/>
  <c r="I44" i="4"/>
  <c r="G105" i="4"/>
  <c r="G50" i="4"/>
  <c r="G91" i="4"/>
  <c r="F51" i="3"/>
  <c r="D152" i="4"/>
  <c r="E47" i="4"/>
  <c r="D46" i="4"/>
  <c r="G201" i="4"/>
  <c r="I94" i="4"/>
  <c r="E110" i="4"/>
  <c r="F147" i="4"/>
  <c r="F62" i="4"/>
  <c r="C174" i="4"/>
  <c r="E26" i="4"/>
  <c r="G81" i="2"/>
  <c r="G139" i="4"/>
  <c r="J190" i="4"/>
  <c r="E32" i="4"/>
  <c r="H27" i="3"/>
  <c r="F190" i="4"/>
  <c r="E92" i="4"/>
  <c r="K148" i="4"/>
  <c r="D90" i="2"/>
  <c r="I137" i="4"/>
  <c r="G46" i="4"/>
  <c r="H24" i="4"/>
  <c r="I26" i="4"/>
  <c r="F140" i="4"/>
  <c r="H62" i="4"/>
  <c r="J89" i="4"/>
  <c r="C57" i="3"/>
  <c r="D95" i="4"/>
  <c r="F108" i="4"/>
  <c r="H46" i="4"/>
  <c r="I182" i="4"/>
  <c r="H48" i="4"/>
  <c r="E9" i="4"/>
  <c r="G90" i="2"/>
  <c r="G146" i="4"/>
  <c r="H153" i="4"/>
  <c r="E16" i="4"/>
  <c r="F139" i="4"/>
  <c r="G13" i="4"/>
  <c r="I174" i="4"/>
  <c r="D50" i="4"/>
  <c r="C25" i="4"/>
  <c r="J180" i="4"/>
  <c r="I63" i="4"/>
  <c r="J87" i="4"/>
  <c r="C10" i="4"/>
  <c r="I89" i="3"/>
  <c r="C27" i="4"/>
  <c r="D196" i="4"/>
  <c r="H200" i="4"/>
  <c r="F132" i="4"/>
  <c r="G128" i="4"/>
  <c r="F81" i="2"/>
  <c r="K110" i="4"/>
  <c r="F182" i="4"/>
  <c r="F149" i="4"/>
  <c r="E150" i="4"/>
  <c r="F64" i="4"/>
  <c r="G74" i="3"/>
  <c r="G51" i="3"/>
  <c r="K158" i="4"/>
  <c r="H97" i="4"/>
  <c r="I127" i="4"/>
  <c r="I69" i="4"/>
  <c r="J134" i="4"/>
  <c r="H149" i="4"/>
  <c r="D155" i="4"/>
  <c r="C156" i="4"/>
  <c r="E129" i="4"/>
  <c r="I146" i="4"/>
  <c r="D26" i="3"/>
  <c r="E65" i="4"/>
  <c r="G32" i="2"/>
  <c r="J147" i="4"/>
  <c r="K197" i="4"/>
  <c r="I93" i="4"/>
  <c r="F109" i="4"/>
  <c r="D109" i="4"/>
  <c r="F91" i="4"/>
  <c r="I135" i="4"/>
  <c r="G55" i="4"/>
  <c r="E48" i="4"/>
  <c r="I110" i="4"/>
  <c r="I96" i="4"/>
  <c r="G94" i="4"/>
  <c r="D20" i="2"/>
  <c r="F194" i="4"/>
  <c r="F107" i="4"/>
  <c r="H159" i="4"/>
  <c r="D155" i="3"/>
  <c r="I112" i="4"/>
  <c r="H55" i="4"/>
  <c r="K105" i="4"/>
  <c r="D44" i="4"/>
  <c r="E25" i="4"/>
  <c r="G97" i="4"/>
  <c r="I87" i="4"/>
  <c r="D74" i="4"/>
  <c r="G131" i="4"/>
  <c r="C170" i="4"/>
  <c r="H134" i="2"/>
  <c r="G156" i="4"/>
  <c r="G64" i="4"/>
  <c r="D65" i="4"/>
  <c r="E172" i="4"/>
  <c r="D26" i="4"/>
  <c r="F53" i="3"/>
  <c r="E71" i="4"/>
  <c r="C156" i="2"/>
  <c r="F26" i="4"/>
  <c r="E118" i="3"/>
  <c r="E48" i="2"/>
  <c r="G20" i="2"/>
  <c r="I25" i="4"/>
  <c r="G18" i="4"/>
  <c r="I147" i="4"/>
  <c r="E189" i="4"/>
  <c r="C30" i="4"/>
  <c r="I119" i="2"/>
  <c r="J109" i="4"/>
  <c r="E139" i="4"/>
  <c r="E49" i="4"/>
  <c r="D24" i="3"/>
  <c r="E136" i="4"/>
  <c r="C33" i="4"/>
  <c r="D107" i="4"/>
  <c r="J198" i="4"/>
  <c r="F134" i="2"/>
  <c r="C139" i="3"/>
  <c r="F45" i="4"/>
  <c r="F95" i="4"/>
  <c r="E20" i="2"/>
  <c r="F62" i="2"/>
  <c r="F131" i="4"/>
  <c r="F180" i="4"/>
  <c r="F146" i="3"/>
  <c r="C148" i="4"/>
  <c r="E179" i="4"/>
  <c r="E32" i="2"/>
  <c r="I172" i="4"/>
  <c r="G148" i="4"/>
  <c r="G9" i="4"/>
  <c r="J146" i="4"/>
  <c r="G86" i="4"/>
  <c r="J159" i="4"/>
  <c r="D134" i="2"/>
  <c r="I31" i="4"/>
  <c r="D64" i="4"/>
  <c r="C158" i="4"/>
  <c r="D33" i="4"/>
  <c r="H30" i="4"/>
  <c r="C111" i="3"/>
  <c r="K154" i="4"/>
  <c r="C152" i="4"/>
  <c r="K106" i="4"/>
  <c r="I30" i="4"/>
  <c r="D135" i="4"/>
  <c r="G129" i="4"/>
  <c r="G134" i="4"/>
  <c r="H45" i="4"/>
  <c r="E114" i="4"/>
  <c r="J107" i="4"/>
  <c r="K107" i="4"/>
  <c r="D102" i="2"/>
  <c r="F66" i="4"/>
  <c r="I47" i="4"/>
  <c r="G16" i="4"/>
  <c r="C45" i="4"/>
  <c r="F134" i="4"/>
  <c r="E119" i="2"/>
  <c r="C92" i="4"/>
  <c r="C47" i="4"/>
  <c r="G45" i="4"/>
  <c r="E173" i="4"/>
  <c r="I55" i="4"/>
  <c r="E86" i="4"/>
  <c r="E44" i="4"/>
  <c r="C176" i="4"/>
  <c r="H158" i="4"/>
  <c r="H32" i="4"/>
  <c r="C182" i="4"/>
  <c r="C106" i="4"/>
  <c r="E134" i="2"/>
  <c r="C152" i="2"/>
  <c r="H32" i="2"/>
  <c r="I154" i="4"/>
  <c r="G136" i="4"/>
  <c r="H52" i="4"/>
  <c r="I29" i="4"/>
  <c r="D62" i="4"/>
  <c r="K202" i="4"/>
  <c r="F15" i="4"/>
  <c r="J157" i="4"/>
  <c r="E87" i="4"/>
  <c r="C43" i="3"/>
  <c r="H192" i="4"/>
  <c r="E156" i="4"/>
  <c r="E138" i="4"/>
  <c r="G127" i="4"/>
  <c r="C31" i="4"/>
  <c r="F13" i="4"/>
  <c r="F38" i="3"/>
  <c r="E54" i="3"/>
  <c r="H25" i="4"/>
  <c r="G51" i="4"/>
  <c r="H132" i="4"/>
  <c r="D110" i="4"/>
  <c r="K111" i="4"/>
  <c r="C191" i="4"/>
  <c r="E45" i="4"/>
  <c r="D66" i="4"/>
  <c r="H63" i="4"/>
  <c r="E140" i="4"/>
  <c r="F67" i="4"/>
  <c r="G71" i="4"/>
  <c r="H91" i="4"/>
  <c r="D71" i="4"/>
  <c r="J104" i="4"/>
  <c r="H112" i="4"/>
  <c r="F113" i="4"/>
  <c r="H68" i="4"/>
  <c r="G10" i="4"/>
  <c r="D90" i="4"/>
  <c r="F17" i="4"/>
  <c r="E10" i="4"/>
  <c r="I153" i="3"/>
  <c r="G149" i="4"/>
  <c r="F175" i="4"/>
  <c r="I115" i="4"/>
  <c r="G119" i="2"/>
  <c r="F55" i="3"/>
  <c r="D18" i="4"/>
  <c r="F32" i="2"/>
  <c r="E27" i="3"/>
  <c r="D108" i="4"/>
  <c r="E107" i="4"/>
  <c r="F25" i="4"/>
  <c r="C110" i="3"/>
  <c r="J113" i="4"/>
  <c r="J139" i="4"/>
  <c r="D92" i="4"/>
  <c r="E181" i="4"/>
  <c r="E177" i="4"/>
  <c r="I90" i="2"/>
  <c r="G154" i="4"/>
  <c r="E178" i="4"/>
  <c r="H94" i="4"/>
  <c r="H93" i="4"/>
  <c r="E133" i="4"/>
  <c r="K149" i="4"/>
  <c r="C127" i="4"/>
  <c r="E146" i="4"/>
  <c r="C115" i="4"/>
  <c r="C11" i="4"/>
  <c r="K156" i="4"/>
  <c r="H113" i="4"/>
  <c r="I89" i="4"/>
  <c r="J94" i="4"/>
  <c r="J154" i="4"/>
  <c r="F136" i="4"/>
  <c r="F176" i="4"/>
  <c r="G33" i="4"/>
  <c r="E106" i="4"/>
  <c r="D63" i="4"/>
  <c r="I75" i="3"/>
  <c r="F9" i="4"/>
  <c r="F47" i="4"/>
  <c r="H95" i="4"/>
  <c r="E63" i="4"/>
  <c r="D70" i="4"/>
  <c r="F50" i="4"/>
  <c r="I46" i="4"/>
  <c r="H156" i="4"/>
  <c r="G62" i="4"/>
  <c r="D132" i="4"/>
  <c r="J90" i="4"/>
  <c r="J121" i="3"/>
  <c r="G115" i="4"/>
  <c r="C17" i="4"/>
  <c r="D29" i="4"/>
  <c r="E195" i="4"/>
  <c r="F133" i="4"/>
  <c r="H146" i="3"/>
  <c r="I92" i="4"/>
  <c r="D157" i="4"/>
  <c r="H110" i="4"/>
  <c r="I102" i="2"/>
  <c r="F44" i="4"/>
  <c r="D67" i="4"/>
  <c r="F51" i="4"/>
  <c r="H151" i="4"/>
  <c r="F74" i="4"/>
  <c r="C155" i="3"/>
  <c r="E11" i="2"/>
  <c r="F65" i="4"/>
  <c r="I138" i="4"/>
  <c r="C73" i="4"/>
  <c r="I23" i="3"/>
  <c r="K189" i="4"/>
  <c r="C18" i="4"/>
  <c r="F52" i="4"/>
  <c r="C15" i="4"/>
  <c r="G29" i="4"/>
  <c r="D73" i="4"/>
  <c r="H177" i="4"/>
  <c r="C88" i="4"/>
  <c r="G11" i="2"/>
  <c r="J66" i="4"/>
  <c r="G152" i="4"/>
  <c r="J132" i="4"/>
  <c r="D138" i="4"/>
  <c r="I97" i="4"/>
  <c r="D15" i="4"/>
  <c r="E73" i="4"/>
  <c r="G70" i="4"/>
  <c r="C157" i="2"/>
  <c r="F155" i="4"/>
  <c r="E68" i="4"/>
  <c r="D149" i="4"/>
  <c r="E115" i="4"/>
  <c r="H147" i="4"/>
  <c r="C56" i="4"/>
  <c r="H105" i="4"/>
  <c r="J137" i="4"/>
  <c r="H90" i="4"/>
  <c r="E135" i="4"/>
  <c r="I68" i="4"/>
  <c r="G195" i="4"/>
  <c r="H51" i="4"/>
  <c r="F115" i="4"/>
  <c r="E127" i="4"/>
  <c r="F31" i="4"/>
  <c r="J111" i="4"/>
  <c r="I176" i="4"/>
  <c r="H194" i="4"/>
  <c r="I52" i="4"/>
  <c r="I158" i="4"/>
  <c r="H90" i="2"/>
  <c r="D153" i="4"/>
  <c r="F114" i="4"/>
  <c r="J133" i="4"/>
  <c r="I150" i="4"/>
  <c r="F11" i="4"/>
  <c r="C150" i="2" l="1"/>
  <c r="H95" i="2"/>
  <c r="H93" i="2"/>
  <c r="E13" i="2"/>
  <c r="I109" i="2"/>
  <c r="I96" i="2"/>
  <c r="I92" i="2"/>
  <c r="F35" i="2"/>
  <c r="G126" i="2"/>
  <c r="G125" i="2"/>
  <c r="H35" i="2"/>
  <c r="H38" i="2"/>
  <c r="E139" i="2"/>
  <c r="E136" i="2"/>
  <c r="E122" i="2"/>
  <c r="E124" i="2"/>
  <c r="D104" i="2"/>
  <c r="D137" i="2"/>
  <c r="D141" i="2"/>
  <c r="E35" i="2"/>
  <c r="E34" i="2"/>
  <c r="F67" i="2"/>
  <c r="F70" i="2"/>
  <c r="E23" i="2"/>
  <c r="F143" i="2"/>
  <c r="F139" i="2"/>
  <c r="I126" i="2"/>
  <c r="I121" i="2"/>
  <c r="G24" i="2"/>
  <c r="E54" i="2"/>
  <c r="E53" i="2"/>
  <c r="H138" i="2"/>
  <c r="H136" i="2"/>
  <c r="D23" i="2"/>
  <c r="G36" i="2"/>
  <c r="G35" i="2"/>
  <c r="G94" i="2"/>
  <c r="G96" i="2"/>
  <c r="D94" i="2"/>
  <c r="G142" i="2"/>
  <c r="G140" i="2"/>
  <c r="H25" i="2"/>
  <c r="H22" i="2"/>
  <c r="D56" i="2"/>
  <c r="E64" i="2"/>
  <c r="E66" i="2"/>
  <c r="F105" i="2"/>
  <c r="F107" i="2"/>
  <c r="D14" i="2"/>
  <c r="D126" i="2"/>
  <c r="D121" i="2"/>
  <c r="I143" i="2"/>
  <c r="I137" i="2"/>
  <c r="F54" i="2"/>
  <c r="I84" i="2"/>
  <c r="F128" i="2"/>
  <c r="F127" i="2"/>
  <c r="H106" i="2"/>
  <c r="H121" i="2"/>
  <c r="H127" i="2"/>
  <c r="D68" i="2"/>
  <c r="D67" i="2"/>
  <c r="E96" i="2"/>
  <c r="E95" i="2"/>
  <c r="E106" i="2"/>
  <c r="E109" i="2"/>
  <c r="H52" i="2"/>
  <c r="H50" i="2"/>
  <c r="D38" i="2"/>
  <c r="D35" i="2"/>
  <c r="H68" i="2"/>
  <c r="H65" i="2"/>
  <c r="G109" i="2"/>
  <c r="G105" i="2"/>
  <c r="G52" i="2"/>
  <c r="G68" i="2"/>
  <c r="F93" i="2"/>
  <c r="G67" i="2"/>
  <c r="H96" i="2"/>
  <c r="G14" i="2"/>
  <c r="I107" i="2"/>
  <c r="I104" i="2"/>
  <c r="I95" i="2"/>
  <c r="F36" i="2"/>
  <c r="F38" i="2"/>
  <c r="G123" i="2"/>
  <c r="G122" i="2"/>
  <c r="H36" i="2"/>
  <c r="E140" i="2"/>
  <c r="E143" i="2"/>
  <c r="E128" i="2"/>
  <c r="E123" i="2"/>
  <c r="D108" i="2"/>
  <c r="D106" i="2"/>
  <c r="D140" i="2"/>
  <c r="D143" i="2"/>
  <c r="E37" i="2"/>
  <c r="E36" i="2"/>
  <c r="F65" i="2"/>
  <c r="F64" i="2"/>
  <c r="E24" i="2"/>
  <c r="F141" i="2"/>
  <c r="F140" i="2"/>
  <c r="I127" i="2"/>
  <c r="I123" i="2"/>
  <c r="G22" i="2"/>
  <c r="E51" i="2"/>
  <c r="E55" i="2"/>
  <c r="H140" i="2"/>
  <c r="H143" i="2"/>
  <c r="D22" i="2"/>
  <c r="G39" i="2"/>
  <c r="G34" i="2"/>
  <c r="G93" i="2"/>
  <c r="D93" i="2"/>
  <c r="D96" i="2"/>
  <c r="G136" i="2"/>
  <c r="G139" i="2"/>
  <c r="H24" i="2"/>
  <c r="D55" i="2"/>
  <c r="D54" i="2"/>
  <c r="E69" i="2"/>
  <c r="E68" i="2"/>
  <c r="F110" i="2"/>
  <c r="F109" i="2"/>
  <c r="D124" i="2"/>
  <c r="D128" i="2"/>
  <c r="I141" i="2"/>
  <c r="I140" i="2"/>
  <c r="F53" i="2"/>
  <c r="F51" i="2"/>
  <c r="H13" i="2"/>
  <c r="F121" i="2"/>
  <c r="F123" i="2"/>
  <c r="H109" i="2"/>
  <c r="H104" i="2"/>
  <c r="H128" i="2"/>
  <c r="H123" i="2"/>
  <c r="D64" i="2"/>
  <c r="D69" i="2"/>
  <c r="E92" i="2"/>
  <c r="D84" i="2"/>
  <c r="E108" i="2"/>
  <c r="E104" i="2"/>
  <c r="H55" i="2"/>
  <c r="H54" i="2"/>
  <c r="D39" i="2"/>
  <c r="H66" i="2"/>
  <c r="H70" i="2"/>
  <c r="F14" i="2"/>
  <c r="G106" i="2"/>
  <c r="G108" i="2"/>
  <c r="G54" i="2"/>
  <c r="F22" i="2"/>
  <c r="H94" i="2"/>
  <c r="G13" i="2"/>
  <c r="I108" i="2"/>
  <c r="I110" i="2"/>
  <c r="I94" i="2"/>
  <c r="F34" i="2"/>
  <c r="F37" i="2"/>
  <c r="G128" i="2"/>
  <c r="G121" i="2"/>
  <c r="H39" i="2"/>
  <c r="E137" i="2"/>
  <c r="E142" i="2"/>
  <c r="E127" i="2"/>
  <c r="E125" i="2"/>
  <c r="D109" i="2"/>
  <c r="D110" i="2"/>
  <c r="D142" i="2"/>
  <c r="D138" i="2"/>
  <c r="E39" i="2"/>
  <c r="F71" i="2"/>
  <c r="F66" i="2"/>
  <c r="E25" i="2"/>
  <c r="E22" i="2"/>
  <c r="F136" i="2"/>
  <c r="F142" i="2"/>
  <c r="I124" i="2"/>
  <c r="I125" i="2"/>
  <c r="G25" i="2"/>
  <c r="E50" i="2"/>
  <c r="E52" i="2"/>
  <c r="H137" i="2"/>
  <c r="H142" i="2"/>
  <c r="D25" i="2"/>
  <c r="G38" i="2"/>
  <c r="F84" i="2"/>
  <c r="G92" i="2"/>
  <c r="D95" i="2"/>
  <c r="G84" i="2"/>
  <c r="G141" i="2"/>
  <c r="G143" i="2"/>
  <c r="H26" i="2"/>
  <c r="D51" i="2"/>
  <c r="D50" i="2"/>
  <c r="E70" i="2"/>
  <c r="E67" i="2"/>
  <c r="F104" i="2"/>
  <c r="F106" i="2"/>
  <c r="D127" i="2"/>
  <c r="D125" i="2"/>
  <c r="I138" i="2"/>
  <c r="I139" i="2"/>
  <c r="F56" i="2"/>
  <c r="F50" i="2"/>
  <c r="H14" i="2"/>
  <c r="F124" i="2"/>
  <c r="F122" i="2"/>
  <c r="H107" i="2"/>
  <c r="H110" i="2"/>
  <c r="H124" i="2"/>
  <c r="H122" i="2"/>
  <c r="D66" i="2"/>
  <c r="D70" i="2"/>
  <c r="E94" i="2"/>
  <c r="D83" i="2"/>
  <c r="E107" i="2"/>
  <c r="H84" i="2"/>
  <c r="H51" i="2"/>
  <c r="H56" i="2"/>
  <c r="D34" i="2"/>
  <c r="H69" i="2"/>
  <c r="H64" i="2"/>
  <c r="F13" i="2"/>
  <c r="G110" i="2"/>
  <c r="G55" i="2"/>
  <c r="G56" i="2"/>
  <c r="G66" i="2"/>
  <c r="G71" i="2"/>
  <c r="F24" i="2"/>
  <c r="F92" i="2"/>
  <c r="F94" i="2"/>
  <c r="E83" i="2"/>
  <c r="F26" i="2"/>
  <c r="H92" i="2"/>
  <c r="E14" i="2"/>
  <c r="I106" i="2"/>
  <c r="I105" i="2"/>
  <c r="I93" i="2"/>
  <c r="F39" i="2"/>
  <c r="G127" i="2"/>
  <c r="G124" i="2"/>
  <c r="H34" i="2"/>
  <c r="H37" i="2"/>
  <c r="E138" i="2"/>
  <c r="E141" i="2"/>
  <c r="E121" i="2"/>
  <c r="E126" i="2"/>
  <c r="D105" i="2"/>
  <c r="D107" i="2"/>
  <c r="D139" i="2"/>
  <c r="D136" i="2"/>
  <c r="E38" i="2"/>
  <c r="F69" i="2"/>
  <c r="F68" i="2"/>
  <c r="E26" i="2"/>
  <c r="F138" i="2"/>
  <c r="F137" i="2"/>
  <c r="I122" i="2"/>
  <c r="I128" i="2"/>
  <c r="G26" i="2"/>
  <c r="G23" i="2"/>
  <c r="E56" i="2"/>
  <c r="H139" i="2"/>
  <c r="H141" i="2"/>
  <c r="D24" i="2"/>
  <c r="D26" i="2"/>
  <c r="G37" i="2"/>
  <c r="F83" i="2"/>
  <c r="G95" i="2"/>
  <c r="D92" i="2"/>
  <c r="G83" i="2"/>
  <c r="G137" i="2"/>
  <c r="G138" i="2"/>
  <c r="H23" i="2"/>
  <c r="D52" i="2"/>
  <c r="D53" i="2"/>
  <c r="E65" i="2"/>
  <c r="E71" i="2"/>
  <c r="F108" i="2"/>
  <c r="D13" i="2"/>
  <c r="D122" i="2"/>
  <c r="D123" i="2"/>
  <c r="I142" i="2"/>
  <c r="I136" i="2"/>
  <c r="F52" i="2"/>
  <c r="F55" i="2"/>
  <c r="I83" i="2"/>
  <c r="F125" i="2"/>
  <c r="F126" i="2"/>
  <c r="H105" i="2"/>
  <c r="H108" i="2"/>
  <c r="H125" i="2"/>
  <c r="H126" i="2"/>
  <c r="D65" i="2"/>
  <c r="D71" i="2"/>
  <c r="E93" i="2"/>
  <c r="E105" i="2"/>
  <c r="E110" i="2"/>
  <c r="H83" i="2"/>
  <c r="H53" i="2"/>
  <c r="D36" i="2"/>
  <c r="D37" i="2"/>
  <c r="H71" i="2"/>
  <c r="H67" i="2"/>
  <c r="G104" i="2"/>
  <c r="G107" i="2"/>
  <c r="G50" i="2"/>
  <c r="G53" i="2"/>
  <c r="G70" i="2"/>
  <c r="G64" i="2"/>
  <c r="F23" i="2"/>
  <c r="F96" i="2"/>
  <c r="E84" i="2"/>
  <c r="G51" i="2"/>
  <c r="G65" i="2"/>
  <c r="F25" i="2"/>
  <c r="G69" i="2"/>
  <c r="F95" i="2"/>
</calcChain>
</file>

<file path=xl/sharedStrings.xml><?xml version="1.0" encoding="utf-8"?>
<sst xmlns="http://schemas.openxmlformats.org/spreadsheetml/2006/main" count="255" uniqueCount="71">
  <si>
    <t>Beams' dosimetric parameters for clinical use</t>
  </si>
  <si>
    <r>
      <t>D'</t>
    </r>
    <r>
      <rPr>
        <b/>
        <vertAlign val="subscript"/>
        <sz val="14"/>
        <color theme="1"/>
        <rFont val="Arial"/>
        <family val="2"/>
      </rPr>
      <t>0</t>
    </r>
    <r>
      <rPr>
        <b/>
        <sz val="14"/>
        <color theme="1"/>
        <rFont val="Arial"/>
        <family val="2"/>
      </rPr>
      <t xml:space="preserve"> [Gy/min] - Steady dose rate in water "free in air"</t>
    </r>
  </si>
  <si>
    <t>Beam type</t>
  </si>
  <si>
    <t>F1</t>
  </si>
  <si>
    <t>F2</t>
  </si>
  <si>
    <t>F3</t>
  </si>
  <si>
    <t>F4</t>
  </si>
  <si>
    <t>F5</t>
  </si>
  <si>
    <t>Applicator</t>
  </si>
  <si>
    <t>A 2cm</t>
  </si>
  <si>
    <t>B 4cm</t>
  </si>
  <si>
    <t>C 6cm</t>
  </si>
  <si>
    <t>D 8cm</t>
  </si>
  <si>
    <t>E 10cm</t>
  </si>
  <si>
    <t>F 15cm</t>
  </si>
  <si>
    <r>
      <t>t</t>
    </r>
    <r>
      <rPr>
        <b/>
        <vertAlign val="subscript"/>
        <sz val="12"/>
        <color theme="1"/>
        <rFont val="Arial"/>
        <family val="2"/>
      </rPr>
      <t xml:space="preserve">shutter </t>
    </r>
    <r>
      <rPr>
        <b/>
        <sz val="12"/>
        <color theme="1"/>
        <rFont val="Arial"/>
        <family val="2"/>
      </rPr>
      <t>[min]</t>
    </r>
  </si>
  <si>
    <t>HVL [mmAl]  - measured half-value layer</t>
  </si>
  <si>
    <r>
      <t>HVL</t>
    </r>
    <r>
      <rPr>
        <b/>
        <vertAlign val="subscript"/>
        <sz val="12"/>
        <color theme="1"/>
        <rFont val="Arial"/>
        <family val="2"/>
      </rPr>
      <t xml:space="preserve"> </t>
    </r>
    <r>
      <rPr>
        <b/>
        <sz val="12"/>
        <color theme="1"/>
        <rFont val="Arial"/>
        <family val="2"/>
      </rPr>
      <t>[mmAl]</t>
    </r>
  </si>
  <si>
    <t xml:space="preserve">kV [kV] </t>
  </si>
  <si>
    <r>
      <t>SSD</t>
    </r>
    <r>
      <rPr>
        <b/>
        <vertAlign val="subscript"/>
        <sz val="14"/>
        <color theme="1"/>
        <rFont val="Arial"/>
        <family val="2"/>
      </rPr>
      <t xml:space="preserve">eff </t>
    </r>
    <r>
      <rPr>
        <b/>
        <sz val="14"/>
        <color theme="1"/>
        <rFont val="Arial"/>
        <family val="2"/>
      </rPr>
      <t>[cm]  - measured effective SSD</t>
    </r>
  </si>
  <si>
    <t>SSD=15cm</t>
  </si>
  <si>
    <r>
      <t>m</t>
    </r>
    <r>
      <rPr>
        <b/>
        <vertAlign val="subscript"/>
        <sz val="11"/>
        <color theme="1"/>
        <rFont val="Arial"/>
        <family val="2"/>
      </rPr>
      <t>en</t>
    </r>
    <r>
      <rPr>
        <b/>
        <sz val="11"/>
        <color theme="1"/>
        <rFont val="Arial"/>
        <family val="2"/>
      </rPr>
      <t>/</t>
    </r>
    <r>
      <rPr>
        <b/>
        <sz val="11"/>
        <color theme="1"/>
        <rFont val="Symbol"/>
        <family val="1"/>
        <charset val="2"/>
      </rPr>
      <t>r</t>
    </r>
    <r>
      <rPr>
        <b/>
        <sz val="11"/>
        <color theme="1"/>
        <rFont val="Arial"/>
        <family val="2"/>
      </rPr>
      <t xml:space="preserve"> [bone/w]</t>
    </r>
  </si>
  <si>
    <t xml:space="preserve">HVL [mmAl]            </t>
  </si>
  <si>
    <t>Linear extrapolation</t>
  </si>
  <si>
    <t>F1 - HVL=0.19mmAl</t>
  </si>
  <si>
    <t>SSD[cm]</t>
  </si>
  <si>
    <t>cm</t>
  </si>
  <si>
    <t>Circular field diameter [cm]</t>
  </si>
  <si>
    <t>F2 - HVL=0.81mmAl</t>
  </si>
  <si>
    <t>F3  - HVL=2.0mmAl</t>
  </si>
  <si>
    <t>F4 - HVL=2.6mmAl</t>
  </si>
  <si>
    <t>F5 - HVL=4.0mmAl</t>
  </si>
  <si>
    <t>depth[mm]</t>
  </si>
  <si>
    <t>SXRT - PDD values for clinical use</t>
  </si>
  <si>
    <r>
      <t>m</t>
    </r>
    <r>
      <rPr>
        <b/>
        <vertAlign val="subscript"/>
        <sz val="14"/>
        <color theme="1"/>
        <rFont val="Arial"/>
        <family val="2"/>
      </rPr>
      <t>en</t>
    </r>
    <r>
      <rPr>
        <b/>
        <sz val="14"/>
        <color theme="1"/>
        <rFont val="Arial"/>
        <family val="2"/>
      </rPr>
      <t>/</t>
    </r>
    <r>
      <rPr>
        <b/>
        <sz val="14"/>
        <color theme="1"/>
        <rFont val="Symbol"/>
        <family val="1"/>
        <charset val="2"/>
      </rPr>
      <t>r</t>
    </r>
    <r>
      <rPr>
        <b/>
        <sz val="14"/>
        <color theme="1"/>
        <rFont val="Arial"/>
        <family val="2"/>
      </rPr>
      <t xml:space="preserve"> [bone/w]</t>
    </r>
    <r>
      <rPr>
        <b/>
        <vertAlign val="subscript"/>
        <sz val="14"/>
        <color theme="1"/>
        <rFont val="Arial"/>
        <family val="2"/>
      </rPr>
      <t>air</t>
    </r>
  </si>
  <si>
    <t>Backscatter in water, values for clinical use</t>
  </si>
  <si>
    <t>* TG-61 Medical Physics, Vol. 28, No. 6, June 2001, Table X p87</t>
  </si>
  <si>
    <t>F1 - HVL=0.2mmAl</t>
  </si>
  <si>
    <t>F2 - HVL=0.8mmAl</t>
  </si>
  <si>
    <t>SSD=25cm</t>
  </si>
  <si>
    <t>* BJR-Supp. 25, Table 1.3.6, page 13. Converted to SSD=15cm, 25cm, using equation (1a) page 156.  British Institute of Radiology, 1996</t>
  </si>
  <si>
    <t>Converted to SSD=15cm, 25cm, using equation (1a) page 156.  British Institute of Radiology, 1996</t>
  </si>
  <si>
    <t>* BJR-Supp. 25, Table 1.3.8 (p. 13) and Table 1.4.1 (p. 14). Linearly interpolated on HVL.</t>
  </si>
  <si>
    <t>* BJR-Supp. 25, Table 1.4.2, page 16-17.  British Institute of Radiology, 1996</t>
  </si>
  <si>
    <t>* BJR-Supp. 25, Table 1.4.2 (p 16-17) and Table 1.4.3 (p 18-19). Linearly interpolated on HVL. British Institute of Radiology, 1996</t>
  </si>
  <si>
    <t>* BJR-Supp. 25, Table 1.4.4, page 20-21.  British Institute of Radiology, 1996</t>
  </si>
  <si>
    <t>* Data measured according to recomendation of TG-61 Medical Physics, Vol. 28, No. 6, June 2001</t>
  </si>
  <si>
    <r>
      <t>t</t>
    </r>
    <r>
      <rPr>
        <b/>
        <vertAlign val="subscript"/>
        <sz val="14"/>
        <color theme="1"/>
        <rFont val="Arial"/>
        <family val="2"/>
      </rPr>
      <t>shutter</t>
    </r>
    <r>
      <rPr>
        <b/>
        <sz val="14"/>
        <color theme="1"/>
        <rFont val="Arial"/>
        <family val="2"/>
      </rPr>
      <t xml:space="preserve"> [min]  - timer correction for shutter effect</t>
    </r>
  </si>
  <si>
    <t>General formalism for SXRT dosimetry</t>
  </si>
  <si>
    <t>HVL=</t>
  </si>
  <si>
    <t>mmAl</t>
  </si>
  <si>
    <t>Circ. field diameter [cm]</t>
  </si>
  <si>
    <r>
      <t>BSF</t>
    </r>
    <r>
      <rPr>
        <b/>
        <vertAlign val="subscript"/>
        <sz val="14"/>
        <color theme="1"/>
        <rFont val="Arial"/>
        <family val="2"/>
      </rPr>
      <t>w</t>
    </r>
    <r>
      <rPr>
        <b/>
        <sz val="14"/>
        <color theme="1"/>
        <rFont val="Arial"/>
        <family val="2"/>
      </rPr>
      <t>(thickness)  SSD=15cm</t>
    </r>
  </si>
  <si>
    <t>t [cm]</t>
  </si>
  <si>
    <r>
      <t>BSF</t>
    </r>
    <r>
      <rPr>
        <vertAlign val="subscript"/>
        <sz val="11"/>
        <color theme="1"/>
        <rFont val="Arial"/>
        <family val="2"/>
      </rPr>
      <t>w</t>
    </r>
    <r>
      <rPr>
        <sz val="11"/>
        <color theme="1"/>
        <rFont val="Arial"/>
        <family val="2"/>
      </rPr>
      <t>(t)</t>
    </r>
  </si>
  <si>
    <r>
      <t>BSF</t>
    </r>
    <r>
      <rPr>
        <vertAlign val="subscript"/>
        <sz val="12"/>
        <color theme="1"/>
        <rFont val="Arial"/>
        <family val="2"/>
      </rPr>
      <t>w</t>
    </r>
    <r>
      <rPr>
        <sz val="12"/>
        <color theme="1"/>
        <rFont val="Arial"/>
        <family val="2"/>
      </rPr>
      <t>(t</t>
    </r>
    <r>
      <rPr>
        <vertAlign val="subscript"/>
        <sz val="12"/>
        <color theme="1"/>
        <rFont val="Arial"/>
        <family val="2"/>
      </rPr>
      <t>max</t>
    </r>
    <r>
      <rPr>
        <sz val="12"/>
        <color theme="1"/>
        <rFont val="Arial"/>
        <family val="2"/>
      </rPr>
      <t xml:space="preserve">) : tmax </t>
    </r>
    <r>
      <rPr>
        <sz val="12"/>
        <color theme="1"/>
        <rFont val="Symbol"/>
        <family val="1"/>
        <charset val="2"/>
      </rPr>
      <t>@</t>
    </r>
    <r>
      <rPr>
        <sz val="12"/>
        <color theme="1"/>
        <rFont val="Arial"/>
        <family val="2"/>
      </rPr>
      <t xml:space="preserve"> 0.5cm</t>
    </r>
  </si>
  <si>
    <r>
      <t>BSF</t>
    </r>
    <r>
      <rPr>
        <vertAlign val="subscript"/>
        <sz val="12"/>
        <color theme="1"/>
        <rFont val="Arial"/>
        <family val="2"/>
      </rPr>
      <t>w</t>
    </r>
    <r>
      <rPr>
        <sz val="12"/>
        <color theme="1"/>
        <rFont val="Arial"/>
        <family val="2"/>
      </rPr>
      <t>(t</t>
    </r>
    <r>
      <rPr>
        <vertAlign val="subscript"/>
        <sz val="12"/>
        <color theme="1"/>
        <rFont val="Arial"/>
        <family val="2"/>
      </rPr>
      <t>max</t>
    </r>
    <r>
      <rPr>
        <sz val="12"/>
        <color theme="1"/>
        <rFont val="Arial"/>
        <family val="2"/>
      </rPr>
      <t xml:space="preserve">) : tmax </t>
    </r>
    <r>
      <rPr>
        <sz val="12"/>
        <color theme="1"/>
        <rFont val="Symbol"/>
        <family val="1"/>
        <charset val="2"/>
      </rPr>
      <t>@</t>
    </r>
    <r>
      <rPr>
        <sz val="12"/>
        <color theme="1"/>
        <rFont val="Arial"/>
        <family val="2"/>
      </rPr>
      <t xml:space="preserve"> 3cm</t>
    </r>
  </si>
  <si>
    <r>
      <t>BSF</t>
    </r>
    <r>
      <rPr>
        <vertAlign val="subscript"/>
        <sz val="12"/>
        <color theme="1"/>
        <rFont val="Arial"/>
        <family val="2"/>
      </rPr>
      <t>w</t>
    </r>
    <r>
      <rPr>
        <sz val="12"/>
        <color theme="1"/>
        <rFont val="Arial"/>
        <family val="2"/>
      </rPr>
      <t>(t</t>
    </r>
    <r>
      <rPr>
        <vertAlign val="subscript"/>
        <sz val="12"/>
        <color theme="1"/>
        <rFont val="Arial"/>
        <family val="2"/>
      </rPr>
      <t>max</t>
    </r>
    <r>
      <rPr>
        <sz val="12"/>
        <color theme="1"/>
        <rFont val="Arial"/>
        <family val="2"/>
      </rPr>
      <t xml:space="preserve">) : tmax </t>
    </r>
    <r>
      <rPr>
        <sz val="12"/>
        <color theme="1"/>
        <rFont val="Symbol"/>
        <family val="1"/>
        <charset val="2"/>
      </rPr>
      <t>@</t>
    </r>
    <r>
      <rPr>
        <sz val="12"/>
        <color theme="1"/>
        <rFont val="Arial"/>
        <family val="2"/>
      </rPr>
      <t xml:space="preserve"> 4cm</t>
    </r>
  </si>
  <si>
    <r>
      <t>BSF</t>
    </r>
    <r>
      <rPr>
        <vertAlign val="subscript"/>
        <sz val="12"/>
        <color theme="1"/>
        <rFont val="Arial"/>
        <family val="2"/>
      </rPr>
      <t>w</t>
    </r>
    <r>
      <rPr>
        <sz val="12"/>
        <color theme="1"/>
        <rFont val="Arial"/>
        <family val="2"/>
      </rPr>
      <t>(t</t>
    </r>
    <r>
      <rPr>
        <vertAlign val="subscript"/>
        <sz val="12"/>
        <color theme="1"/>
        <rFont val="Arial"/>
        <family val="2"/>
      </rPr>
      <t>max</t>
    </r>
    <r>
      <rPr>
        <sz val="12"/>
        <color theme="1"/>
        <rFont val="Arial"/>
        <family val="2"/>
      </rPr>
      <t xml:space="preserve">) : tmax </t>
    </r>
    <r>
      <rPr>
        <sz val="12"/>
        <color theme="1"/>
        <rFont val="Symbol"/>
        <family val="1"/>
        <charset val="2"/>
      </rPr>
      <t>@</t>
    </r>
    <r>
      <rPr>
        <sz val="12"/>
        <color theme="1"/>
        <rFont val="Arial"/>
        <family val="2"/>
      </rPr>
      <t xml:space="preserve"> 5cm</t>
    </r>
  </si>
  <si>
    <r>
      <t>BSF</t>
    </r>
    <r>
      <rPr>
        <vertAlign val="subscript"/>
        <sz val="12"/>
        <color theme="1"/>
        <rFont val="Arial"/>
        <family val="2"/>
      </rPr>
      <t>w</t>
    </r>
    <r>
      <rPr>
        <sz val="12"/>
        <color theme="1"/>
        <rFont val="Arial"/>
        <family val="2"/>
      </rPr>
      <t>(t</t>
    </r>
    <r>
      <rPr>
        <vertAlign val="subscript"/>
        <sz val="12"/>
        <color theme="1"/>
        <rFont val="Arial"/>
        <family val="2"/>
      </rPr>
      <t>max</t>
    </r>
    <r>
      <rPr>
        <sz val="12"/>
        <color theme="1"/>
        <rFont val="Arial"/>
        <family val="2"/>
      </rPr>
      <t xml:space="preserve">) : tmax </t>
    </r>
    <r>
      <rPr>
        <sz val="12"/>
        <color theme="1"/>
        <rFont val="Symbol"/>
        <family val="1"/>
        <charset val="2"/>
      </rPr>
      <t>@</t>
    </r>
    <r>
      <rPr>
        <sz val="12"/>
        <color theme="1"/>
        <rFont val="Arial"/>
        <family val="2"/>
      </rPr>
      <t xml:space="preserve"> 6cm</t>
    </r>
  </si>
  <si>
    <r>
      <t>BSF</t>
    </r>
    <r>
      <rPr>
        <b/>
        <vertAlign val="subscript"/>
        <sz val="14"/>
        <color theme="1"/>
        <rFont val="Arial"/>
        <family val="2"/>
      </rPr>
      <t>w</t>
    </r>
    <r>
      <rPr>
        <b/>
        <sz val="14"/>
        <color theme="1"/>
        <rFont val="Arial"/>
        <family val="2"/>
      </rPr>
      <t>(thickness)  SSD=25cm</t>
    </r>
  </si>
  <si>
    <r>
      <t>BSF</t>
    </r>
    <r>
      <rPr>
        <vertAlign val="subscript"/>
        <sz val="12"/>
        <color theme="1"/>
        <rFont val="Arial"/>
        <family val="2"/>
      </rPr>
      <t>w</t>
    </r>
    <r>
      <rPr>
        <sz val="12"/>
        <color theme="1"/>
        <rFont val="Arial"/>
        <family val="2"/>
      </rPr>
      <t>(t</t>
    </r>
    <r>
      <rPr>
        <vertAlign val="subscript"/>
        <sz val="12"/>
        <color theme="1"/>
        <rFont val="Arial"/>
        <family val="2"/>
      </rPr>
      <t>max</t>
    </r>
    <r>
      <rPr>
        <sz val="12"/>
        <color theme="1"/>
        <rFont val="Arial"/>
        <family val="2"/>
      </rPr>
      <t xml:space="preserve">) : tmax </t>
    </r>
    <r>
      <rPr>
        <sz val="12"/>
        <color theme="1"/>
        <rFont val="Symbol"/>
        <family val="1"/>
        <charset val="2"/>
      </rPr>
      <t>@</t>
    </r>
    <r>
      <rPr>
        <sz val="12"/>
        <color theme="1"/>
        <rFont val="Arial"/>
        <family val="2"/>
      </rPr>
      <t xml:space="preserve"> 0.6cm</t>
    </r>
  </si>
  <si>
    <t>Data from TG-61 Medical Physics, Vol. 28, No. 6, June 2001, Table V p884-885, linearly interpolated on SSD</t>
  </si>
  <si>
    <t>Xstrahl 100 - Serial number: GM0412</t>
  </si>
  <si>
    <t>Zero-extrapolated PDD data, ISL removed, for estimating water attenuation. Data used on calculating BSFw(t) (Lack of backscatter)</t>
  </si>
  <si>
    <t>0.2mmAl</t>
  </si>
  <si>
    <t>0.8mmAl</t>
  </si>
  <si>
    <t>2.0mmAl</t>
  </si>
  <si>
    <t>2.6mmAl</t>
  </si>
  <si>
    <t>4.0mmAl</t>
  </si>
  <si>
    <t>BSF(t) modeled as per F. Nelli model: B(t)=(Bw-1)*(1-PDD(t)*tr_up(t))+1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</si>
</sst>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0.000"/>
    <numFmt numFmtId="166" formatCode="_ * #,##0_ ;_ * \-#,##0_ ;_ * &quot;-&quot;_ ;_ @_ "/>
    <numFmt numFmtId="167" formatCode="_ * #,##0.00_ ;_ * \-#,##0.00_ ;_ * &quot;-&quot;??_ ;_ @_ "/>
    <numFmt numFmtId="168" formatCode="_ &quot;$&quot;* #,##0_ ;_ &quot;$&quot;* \-#,##0_ ;_ &quot;$&quot;* &quot;-&quot;_ ;_ @_ "/>
    <numFmt numFmtId="169" formatCode="_ &quot;$&quot;* #,##0.00_ ;_ &quot;$&quot;* \-#,##0.00_ ;_ &quot;$&quot;* &quot;-&quot;??_ ;_ @_ "/>
  </numFmts>
  <fonts count="51" x14ac:knownFonts="1"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vertAlign val="subscript"/>
      <sz val="14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1"/>
      <name val="Symbol"/>
      <family val="1"/>
      <charset val="2"/>
    </font>
    <font>
      <sz val="11"/>
      <color theme="1"/>
      <name val="Times New Roman"/>
      <family val="1"/>
    </font>
    <font>
      <b/>
      <sz val="11"/>
      <color theme="1"/>
      <name val="Symbol"/>
      <family val="1"/>
      <charset val="2"/>
    </font>
    <font>
      <b/>
      <vertAlign val="subscript"/>
      <sz val="11"/>
      <color theme="1"/>
      <name val="Arial"/>
      <family val="2"/>
    </font>
    <font>
      <b/>
      <sz val="14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0"/>
      <name val="Arial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9"/>
      <name val="Calibri"/>
      <family val="2"/>
    </font>
    <font>
      <b/>
      <sz val="11"/>
      <color rgb="FF7030A0"/>
      <name val="Arial"/>
      <family val="2"/>
    </font>
    <font>
      <b/>
      <sz val="11"/>
      <color rgb="FF0070C0"/>
      <name val="Arial"/>
      <family val="2"/>
    </font>
    <font>
      <b/>
      <sz val="14"/>
      <color rgb="FF7030A0"/>
      <name val="Arial"/>
      <family val="2"/>
    </font>
    <font>
      <b/>
      <sz val="14"/>
      <color theme="0"/>
      <name val="Calibri"/>
      <family val="2"/>
      <scheme val="minor"/>
    </font>
    <font>
      <sz val="8"/>
      <color theme="1"/>
      <name val="Arial"/>
      <family val="2"/>
    </font>
    <font>
      <sz val="11"/>
      <name val="Arial"/>
      <family val="2"/>
    </font>
    <font>
      <sz val="14"/>
      <color theme="1"/>
      <name val="Arial"/>
      <family val="2"/>
    </font>
    <font>
      <sz val="8"/>
      <color theme="1"/>
      <name val="Calibri"/>
      <family val="2"/>
      <scheme val="minor"/>
    </font>
    <font>
      <sz val="12"/>
      <color theme="1"/>
      <name val="Arial"/>
      <family val="2"/>
    </font>
    <font>
      <vertAlign val="subscript"/>
      <sz val="11"/>
      <color theme="1"/>
      <name val="Arial"/>
      <family val="2"/>
    </font>
    <font>
      <vertAlign val="subscript"/>
      <sz val="12"/>
      <color theme="1"/>
      <name val="Arial"/>
      <family val="2"/>
    </font>
    <font>
      <sz val="12"/>
      <color theme="1"/>
      <name val="Symbol"/>
      <family val="1"/>
      <charset val="2"/>
    </font>
    <font>
      <sz val="11"/>
      <color theme="1"/>
      <name val="Calibri"/>
      <family val="2"/>
      <scheme val="minor"/>
    </font>
    <font>
      <b/>
      <sz val="11"/>
      <color theme="0" tint="-0.249977111117893"/>
      <name val="Arial"/>
      <family val="2"/>
    </font>
    <font>
      <b/>
      <sz val="14"/>
      <color theme="0" tint="-0.249977111117893"/>
      <name val="Calibri"/>
      <family val="2"/>
      <scheme val="minor"/>
    </font>
    <font>
      <b/>
      <sz val="11"/>
      <name val="Arial"/>
      <family val="2"/>
    </font>
    <font>
      <b/>
      <sz val="14"/>
      <name val="Calibri"/>
      <family val="2"/>
      <scheme val="minor"/>
    </font>
    <font>
      <sz val="14"/>
      <color theme="0"/>
      <name val="Arial"/>
      <family val="2"/>
    </font>
    <font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sz val="8"/>
      <color theme="0" tint="-0.249977111117893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749992370372631"/>
        <bgColor indexed="64"/>
      </patternFill>
    </fill>
    <fill>
      <patternFill patternType="solid">
        <fgColor rgb="FFFFFFCC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13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15" borderId="0" applyNumberFormat="0" applyBorder="0" applyAlignment="0" applyProtection="0"/>
    <xf numFmtId="0" fontId="13" fillId="18" borderId="0" applyNumberFormat="0" applyBorder="0" applyAlignment="0" applyProtection="0"/>
    <xf numFmtId="0" fontId="13" fillId="21" borderId="0" applyNumberFormat="0" applyBorder="0" applyAlignment="0" applyProtection="0"/>
    <xf numFmtId="0" fontId="14" fillId="22" borderId="0" applyNumberFormat="0" applyBorder="0" applyAlignment="0" applyProtection="0"/>
    <xf numFmtId="0" fontId="14" fillId="19" borderId="0" applyNumberFormat="0" applyBorder="0" applyAlignment="0" applyProtection="0"/>
    <xf numFmtId="0" fontId="14" fillId="20" borderId="0" applyNumberFormat="0" applyBorder="0" applyAlignment="0" applyProtection="0"/>
    <xf numFmtId="0" fontId="14" fillId="23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5" fillId="0" borderId="0" applyNumberFormat="0" applyFill="0" applyBorder="0" applyAlignment="0" applyProtection="0"/>
    <xf numFmtId="0" fontId="16" fillId="26" borderId="43" applyNumberFormat="0" applyAlignment="0" applyProtection="0"/>
    <xf numFmtId="0" fontId="17" fillId="0" borderId="44" applyNumberFormat="0" applyFill="0" applyAlignment="0" applyProtection="0"/>
    <xf numFmtId="0" fontId="13" fillId="27" borderId="45" applyNumberFormat="0" applyFont="0" applyAlignment="0" applyProtection="0"/>
    <xf numFmtId="0" fontId="18" fillId="17" borderId="43" applyNumberFormat="0" applyAlignment="0" applyProtection="0"/>
    <xf numFmtId="0" fontId="19" fillId="13" borderId="0" applyNumberFormat="0" applyBorder="0" applyAlignment="0" applyProtection="0"/>
    <xf numFmtId="166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168" fontId="20" fillId="0" borderId="0" applyFont="0" applyFill="0" applyBorder="0" applyAlignment="0" applyProtection="0"/>
    <xf numFmtId="169" fontId="20" fillId="0" borderId="0" applyFont="0" applyFill="0" applyBorder="0" applyAlignment="0" applyProtection="0"/>
    <xf numFmtId="0" fontId="21" fillId="28" borderId="0" applyNumberFormat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22" fillId="14" borderId="0" applyNumberFormat="0" applyBorder="0" applyAlignment="0" applyProtection="0"/>
    <xf numFmtId="0" fontId="23" fillId="26" borderId="46" applyNumberFormat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47" applyNumberFormat="0" applyFill="0" applyAlignment="0" applyProtection="0"/>
    <xf numFmtId="0" fontId="27" fillId="0" borderId="48" applyNumberFormat="0" applyFill="0" applyAlignment="0" applyProtection="0"/>
    <xf numFmtId="0" fontId="28" fillId="0" borderId="49" applyNumberFormat="0" applyFill="0" applyAlignment="0" applyProtection="0"/>
    <xf numFmtId="0" fontId="28" fillId="0" borderId="0" applyNumberFormat="0" applyFill="0" applyBorder="0" applyAlignment="0" applyProtection="0"/>
    <xf numFmtId="0" fontId="29" fillId="29" borderId="50" applyNumberFormat="0" applyAlignment="0" applyProtection="0"/>
    <xf numFmtId="9" fontId="42" fillId="0" borderId="0" applyFont="0" applyFill="0" applyBorder="0" applyAlignment="0" applyProtection="0"/>
  </cellStyleXfs>
  <cellXfs count="228">
    <xf numFmtId="0" fontId="0" fillId="0" borderId="0" xfId="0"/>
    <xf numFmtId="0" fontId="2" fillId="0" borderId="0" xfId="0" applyFont="1"/>
    <xf numFmtId="0" fontId="3" fillId="0" borderId="0" xfId="0" applyFont="1"/>
    <xf numFmtId="2" fontId="2" fillId="0" borderId="9" xfId="0" applyNumberFormat="1" applyFont="1" applyBorder="1" applyAlignment="1">
      <alignment horizontal="center"/>
    </xf>
    <xf numFmtId="0" fontId="3" fillId="0" borderId="0" xfId="0" applyFont="1" applyAlignment="1"/>
    <xf numFmtId="0" fontId="1" fillId="0" borderId="0" xfId="0" applyFont="1" applyAlignment="1"/>
    <xf numFmtId="2" fontId="2" fillId="0" borderId="4" xfId="0" applyNumberFormat="1" applyFont="1" applyBorder="1" applyAlignment="1">
      <alignment horizontal="center"/>
    </xf>
    <xf numFmtId="2" fontId="2" fillId="0" borderId="5" xfId="0" applyNumberFormat="1" applyFont="1" applyBorder="1" applyAlignment="1">
      <alignment horizontal="center"/>
    </xf>
    <xf numFmtId="2" fontId="2" fillId="0" borderId="6" xfId="0" applyNumberFormat="1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164" fontId="2" fillId="0" borderId="17" xfId="0" applyNumberFormat="1" applyFont="1" applyBorder="1" applyAlignment="1">
      <alignment horizontal="center"/>
    </xf>
    <xf numFmtId="164" fontId="2" fillId="0" borderId="23" xfId="0" applyNumberFormat="1" applyFont="1" applyBorder="1" applyAlignment="1">
      <alignment horizontal="center"/>
    </xf>
    <xf numFmtId="164" fontId="2" fillId="0" borderId="24" xfId="0" applyNumberFormat="1" applyFont="1" applyBorder="1" applyAlignment="1">
      <alignment horizontal="center"/>
    </xf>
    <xf numFmtId="164" fontId="2" fillId="0" borderId="25" xfId="0" applyNumberFormat="1" applyFont="1" applyBorder="1" applyAlignment="1">
      <alignment horizontal="center"/>
    </xf>
    <xf numFmtId="164" fontId="2" fillId="0" borderId="9" xfId="0" applyNumberFormat="1" applyFont="1" applyBorder="1" applyAlignment="1">
      <alignment horizontal="center"/>
    </xf>
    <xf numFmtId="164" fontId="2" fillId="0" borderId="26" xfId="0" applyNumberFormat="1" applyFont="1" applyBorder="1" applyAlignment="1">
      <alignment horizontal="center"/>
    </xf>
    <xf numFmtId="164" fontId="2" fillId="0" borderId="27" xfId="0" applyNumberFormat="1" applyFont="1" applyBorder="1" applyAlignment="1">
      <alignment horizontal="center"/>
    </xf>
    <xf numFmtId="164" fontId="2" fillId="0" borderId="28" xfId="0" applyNumberFormat="1" applyFont="1" applyBorder="1" applyAlignment="1">
      <alignment horizontal="center"/>
    </xf>
    <xf numFmtId="164" fontId="2" fillId="0" borderId="29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2" fillId="0" borderId="0" xfId="0" applyFont="1" applyBorder="1"/>
    <xf numFmtId="0" fontId="8" fillId="0" borderId="0" xfId="0" applyFont="1"/>
    <xf numFmtId="0" fontId="5" fillId="4" borderId="34" xfId="0" applyFont="1" applyFill="1" applyBorder="1" applyAlignment="1">
      <alignment vertical="center"/>
    </xf>
    <xf numFmtId="1" fontId="9" fillId="4" borderId="34" xfId="0" applyNumberFormat="1" applyFont="1" applyFill="1" applyBorder="1" applyAlignment="1">
      <alignment horizontal="center" vertical="center"/>
    </xf>
    <xf numFmtId="0" fontId="2" fillId="4" borderId="0" xfId="0" applyFont="1" applyFill="1"/>
    <xf numFmtId="2" fontId="9" fillId="0" borderId="34" xfId="0" applyNumberFormat="1" applyFont="1" applyFill="1" applyBorder="1" applyAlignment="1">
      <alignment horizontal="center" vertical="center"/>
    </xf>
    <xf numFmtId="2" fontId="9" fillId="0" borderId="35" xfId="0" applyNumberFormat="1" applyFont="1" applyFill="1" applyBorder="1" applyAlignment="1">
      <alignment horizontal="center" vertical="center"/>
    </xf>
    <xf numFmtId="2" fontId="9" fillId="0" borderId="40" xfId="0" applyNumberFormat="1" applyFont="1" applyFill="1" applyBorder="1" applyAlignment="1">
      <alignment horizontal="center" vertical="center"/>
    </xf>
    <xf numFmtId="0" fontId="0" fillId="0" borderId="0" xfId="0" applyFont="1"/>
    <xf numFmtId="0" fontId="1" fillId="3" borderId="0" xfId="0" applyFont="1" applyFill="1"/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5" fillId="6" borderId="31" xfId="0" applyFont="1" applyFill="1" applyBorder="1" applyAlignment="1">
      <alignment horizontal="center" vertical="center"/>
    </xf>
    <xf numFmtId="0" fontId="5" fillId="6" borderId="32" xfId="0" applyFont="1" applyFill="1" applyBorder="1" applyAlignment="1">
      <alignment horizontal="center" vertical="center"/>
    </xf>
    <xf numFmtId="164" fontId="5" fillId="7" borderId="34" xfId="0" applyNumberFormat="1" applyFont="1" applyFill="1" applyBorder="1" applyAlignment="1">
      <alignment vertical="center"/>
    </xf>
    <xf numFmtId="164" fontId="5" fillId="7" borderId="35" xfId="0" applyNumberFormat="1" applyFont="1" applyFill="1" applyBorder="1" applyAlignment="1">
      <alignment vertical="center"/>
    </xf>
    <xf numFmtId="164" fontId="5" fillId="7" borderId="40" xfId="0" applyNumberFormat="1" applyFont="1" applyFill="1" applyBorder="1" applyAlignment="1">
      <alignment vertical="center"/>
    </xf>
    <xf numFmtId="0" fontId="1" fillId="8" borderId="0" xfId="0" applyFont="1" applyFill="1"/>
    <xf numFmtId="0" fontId="3" fillId="8" borderId="0" xfId="0" applyFont="1" applyFill="1" applyAlignment="1">
      <alignment horizontal="center"/>
    </xf>
    <xf numFmtId="0" fontId="3" fillId="8" borderId="0" xfId="0" applyFont="1" applyFill="1"/>
    <xf numFmtId="164" fontId="5" fillId="7" borderId="36" xfId="0" applyNumberFormat="1" applyFont="1" applyFill="1" applyBorder="1" applyAlignment="1">
      <alignment vertical="center"/>
    </xf>
    <xf numFmtId="164" fontId="5" fillId="7" borderId="39" xfId="0" applyNumberFormat="1" applyFont="1" applyFill="1" applyBorder="1" applyAlignment="1">
      <alignment vertical="center"/>
    </xf>
    <xf numFmtId="164" fontId="5" fillId="7" borderId="41" xfId="0" applyNumberFormat="1" applyFont="1" applyFill="1" applyBorder="1" applyAlignment="1">
      <alignment vertical="center"/>
    </xf>
    <xf numFmtId="1" fontId="5" fillId="6" borderId="36" xfId="0" applyNumberFormat="1" applyFont="1" applyFill="1" applyBorder="1" applyAlignment="1">
      <alignment horizontal="center" vertical="center"/>
    </xf>
    <xf numFmtId="0" fontId="5" fillId="6" borderId="37" xfId="0" applyFont="1" applyFill="1" applyBorder="1" applyAlignment="1">
      <alignment horizontal="center" vertical="center"/>
    </xf>
    <xf numFmtId="0" fontId="5" fillId="6" borderId="38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center" vertical="center"/>
    </xf>
    <xf numFmtId="1" fontId="2" fillId="0" borderId="37" xfId="0" applyNumberFormat="1" applyFont="1" applyBorder="1" applyAlignment="1">
      <alignment horizontal="center" vertical="center"/>
    </xf>
    <xf numFmtId="1" fontId="2" fillId="0" borderId="38" xfId="0" applyNumberFormat="1" applyFont="1" applyBorder="1" applyAlignment="1">
      <alignment horizontal="center" vertical="center"/>
    </xf>
    <xf numFmtId="1" fontId="2" fillId="7" borderId="39" xfId="0" applyNumberFormat="1" applyFont="1" applyFill="1" applyBorder="1" applyAlignment="1">
      <alignment horizontal="center" vertical="center"/>
    </xf>
    <xf numFmtId="1" fontId="2" fillId="7" borderId="0" xfId="0" applyNumberFormat="1" applyFont="1" applyFill="1" applyBorder="1" applyAlignment="1">
      <alignment horizontal="center" vertical="center"/>
    </xf>
    <xf numFmtId="1" fontId="2" fillId="7" borderId="33" xfId="0" applyNumberFormat="1" applyFont="1" applyFill="1" applyBorder="1" applyAlignment="1">
      <alignment horizontal="center" vertical="center"/>
    </xf>
    <xf numFmtId="1" fontId="2" fillId="30" borderId="39" xfId="0" applyNumberFormat="1" applyFont="1" applyFill="1" applyBorder="1" applyAlignment="1">
      <alignment horizontal="center" vertical="center"/>
    </xf>
    <xf numFmtId="1" fontId="2" fillId="30" borderId="0" xfId="0" applyNumberFormat="1" applyFont="1" applyFill="1" applyBorder="1" applyAlignment="1">
      <alignment horizontal="center" vertical="center"/>
    </xf>
    <xf numFmtId="1" fontId="2" fillId="30" borderId="33" xfId="0" applyNumberFormat="1" applyFont="1" applyFill="1" applyBorder="1" applyAlignment="1">
      <alignment horizontal="center" vertical="center"/>
    </xf>
    <xf numFmtId="1" fontId="2" fillId="0" borderId="39" xfId="0" applyNumberFormat="1" applyFont="1" applyBorder="1" applyAlignment="1">
      <alignment horizontal="center" vertical="center"/>
    </xf>
    <xf numFmtId="1" fontId="2" fillId="0" borderId="0" xfId="0" applyNumberFormat="1" applyFont="1" applyBorder="1" applyAlignment="1">
      <alignment horizontal="center" vertical="center"/>
    </xf>
    <xf numFmtId="1" fontId="2" fillId="0" borderId="33" xfId="0" applyNumberFormat="1" applyFont="1" applyBorder="1" applyAlignment="1">
      <alignment horizontal="center" vertical="center"/>
    </xf>
    <xf numFmtId="1" fontId="2" fillId="0" borderId="41" xfId="0" applyNumberFormat="1" applyFont="1" applyBorder="1" applyAlignment="1">
      <alignment horizontal="center" vertical="center"/>
    </xf>
    <xf numFmtId="1" fontId="2" fillId="0" borderId="42" xfId="0" applyNumberFormat="1" applyFont="1" applyBorder="1" applyAlignment="1">
      <alignment horizontal="center" vertical="center"/>
    </xf>
    <xf numFmtId="1" fontId="2" fillId="0" borderId="9" xfId="0" applyNumberFormat="1" applyFont="1" applyBorder="1" applyAlignment="1">
      <alignment horizontal="center" vertical="center"/>
    </xf>
    <xf numFmtId="1" fontId="2" fillId="31" borderId="39" xfId="0" applyNumberFormat="1" applyFont="1" applyFill="1" applyBorder="1" applyAlignment="1">
      <alignment horizontal="center" vertical="center"/>
    </xf>
    <xf numFmtId="1" fontId="2" fillId="31" borderId="0" xfId="0" applyNumberFormat="1" applyFont="1" applyFill="1" applyBorder="1" applyAlignment="1">
      <alignment horizontal="center" vertical="center"/>
    </xf>
    <xf numFmtId="1" fontId="2" fillId="31" borderId="33" xfId="0" applyNumberFormat="1" applyFont="1" applyFill="1" applyBorder="1" applyAlignment="1">
      <alignment horizontal="center" vertical="center"/>
    </xf>
    <xf numFmtId="2" fontId="30" fillId="31" borderId="39" xfId="0" applyNumberFormat="1" applyFont="1" applyFill="1" applyBorder="1" applyAlignment="1">
      <alignment vertical="center"/>
    </xf>
    <xf numFmtId="2" fontId="31" fillId="7" borderId="39" xfId="0" applyNumberFormat="1" applyFont="1" applyFill="1" applyBorder="1" applyAlignment="1">
      <alignment vertical="center"/>
    </xf>
    <xf numFmtId="2" fontId="31" fillId="7" borderId="35" xfId="0" applyNumberFormat="1" applyFont="1" applyFill="1" applyBorder="1" applyAlignment="1">
      <alignment vertical="center"/>
    </xf>
    <xf numFmtId="164" fontId="31" fillId="7" borderId="39" xfId="0" applyNumberFormat="1" applyFont="1" applyFill="1" applyBorder="1" applyAlignment="1">
      <alignment vertical="center"/>
    </xf>
    <xf numFmtId="164" fontId="30" fillId="30" borderId="39" xfId="0" applyNumberFormat="1" applyFont="1" applyFill="1" applyBorder="1" applyAlignment="1">
      <alignment vertical="center"/>
    </xf>
    <xf numFmtId="2" fontId="30" fillId="30" borderId="35" xfId="0" applyNumberFormat="1" applyFont="1" applyFill="1" applyBorder="1" applyAlignment="1">
      <alignment vertical="center"/>
    </xf>
    <xf numFmtId="164" fontId="31" fillId="7" borderId="35" xfId="0" applyNumberFormat="1" applyFont="1" applyFill="1" applyBorder="1" applyAlignment="1">
      <alignment vertical="center"/>
    </xf>
    <xf numFmtId="164" fontId="30" fillId="30" borderId="35" xfId="0" applyNumberFormat="1" applyFont="1" applyFill="1" applyBorder="1" applyAlignment="1">
      <alignment vertical="center"/>
    </xf>
    <xf numFmtId="164" fontId="5" fillId="6" borderId="36" xfId="0" applyNumberFormat="1" applyFont="1" applyFill="1" applyBorder="1" applyAlignment="1">
      <alignment horizontal="center" vertical="center"/>
    </xf>
    <xf numFmtId="164" fontId="5" fillId="6" borderId="30" xfId="0" applyNumberFormat="1" applyFont="1" applyFill="1" applyBorder="1" applyAlignment="1">
      <alignment horizontal="center" vertical="center"/>
    </xf>
    <xf numFmtId="0" fontId="5" fillId="6" borderId="0" xfId="0" applyFont="1" applyFill="1" applyBorder="1" applyAlignment="1"/>
    <xf numFmtId="0" fontId="5" fillId="6" borderId="30" xfId="0" applyFont="1" applyFill="1" applyBorder="1" applyAlignment="1">
      <alignment horizontal="center" vertical="center"/>
    </xf>
    <xf numFmtId="0" fontId="34" fillId="0" borderId="0" xfId="0" applyFont="1"/>
    <xf numFmtId="164" fontId="5" fillId="6" borderId="37" xfId="0" applyNumberFormat="1" applyFont="1" applyFill="1" applyBorder="1" applyAlignment="1">
      <alignment horizontal="center" vertical="center"/>
    </xf>
    <xf numFmtId="0" fontId="5" fillId="6" borderId="42" xfId="0" applyFont="1" applyFill="1" applyBorder="1" applyAlignment="1"/>
    <xf numFmtId="0" fontId="37" fillId="0" borderId="0" xfId="0" applyFont="1"/>
    <xf numFmtId="164" fontId="38" fillId="0" borderId="17" xfId="0" applyNumberFormat="1" applyFont="1" applyBorder="1" applyAlignment="1">
      <alignment horizontal="center"/>
    </xf>
    <xf numFmtId="164" fontId="38" fillId="0" borderId="18" xfId="0" applyNumberFormat="1" applyFont="1" applyBorder="1" applyAlignment="1">
      <alignment horizontal="center"/>
    </xf>
    <xf numFmtId="164" fontId="38" fillId="0" borderId="19" xfId="0" applyNumberFormat="1" applyFont="1" applyBorder="1" applyAlignment="1">
      <alignment horizontal="center"/>
    </xf>
    <xf numFmtId="165" fontId="2" fillId="0" borderId="0" xfId="0" applyNumberFormat="1" applyFont="1"/>
    <xf numFmtId="0" fontId="36" fillId="0" borderId="0" xfId="0" applyFont="1" applyAlignment="1">
      <alignment horizontal="right"/>
    </xf>
    <xf numFmtId="165" fontId="2" fillId="0" borderId="0" xfId="0" applyNumberFormat="1" applyFont="1" applyBorder="1" applyAlignment="1">
      <alignment horizontal="center"/>
    </xf>
    <xf numFmtId="165" fontId="2" fillId="0" borderId="36" xfId="0" applyNumberFormat="1" applyFont="1" applyBorder="1" applyAlignment="1">
      <alignment horizontal="center"/>
    </xf>
    <xf numFmtId="165" fontId="2" fillId="0" borderId="37" xfId="0" applyNumberFormat="1" applyFont="1" applyBorder="1" applyAlignment="1">
      <alignment horizontal="center"/>
    </xf>
    <xf numFmtId="165" fontId="2" fillId="0" borderId="38" xfId="0" applyNumberFormat="1" applyFont="1" applyBorder="1" applyAlignment="1">
      <alignment horizontal="center"/>
    </xf>
    <xf numFmtId="165" fontId="2" fillId="0" borderId="39" xfId="0" applyNumberFormat="1" applyFont="1" applyBorder="1" applyAlignment="1">
      <alignment horizontal="center"/>
    </xf>
    <xf numFmtId="165" fontId="2" fillId="0" borderId="33" xfId="0" applyNumberFormat="1" applyFont="1" applyBorder="1" applyAlignment="1">
      <alignment horizontal="center"/>
    </xf>
    <xf numFmtId="165" fontId="2" fillId="0" borderId="41" xfId="0" applyNumberFormat="1" applyFont="1" applyBorder="1" applyAlignment="1">
      <alignment horizontal="center"/>
    </xf>
    <xf numFmtId="165" fontId="2" fillId="0" borderId="42" xfId="0" applyNumberFormat="1" applyFont="1" applyBorder="1" applyAlignment="1">
      <alignment horizontal="center"/>
    </xf>
    <xf numFmtId="165" fontId="2" fillId="0" borderId="9" xfId="0" applyNumberFormat="1" applyFont="1" applyBorder="1" applyAlignment="1">
      <alignment horizontal="center"/>
    </xf>
    <xf numFmtId="0" fontId="2" fillId="0" borderId="0" xfId="0" applyFont="1" applyFill="1" applyBorder="1"/>
    <xf numFmtId="0" fontId="38" fillId="0" borderId="0" xfId="0" applyFont="1" applyFill="1" applyBorder="1" applyAlignment="1">
      <alignment horizontal="center"/>
    </xf>
    <xf numFmtId="0" fontId="5" fillId="5" borderId="36" xfId="0" applyFont="1" applyFill="1" applyBorder="1" applyAlignment="1">
      <alignment horizontal="center"/>
    </xf>
    <xf numFmtId="0" fontId="5" fillId="5" borderId="36" xfId="0" applyFont="1" applyFill="1" applyBorder="1" applyAlignment="1">
      <alignment horizontal="right"/>
    </xf>
    <xf numFmtId="164" fontId="5" fillId="5" borderId="37" xfId="0" applyNumberFormat="1" applyFont="1" applyFill="1" applyBorder="1" applyAlignment="1">
      <alignment horizontal="center"/>
    </xf>
    <xf numFmtId="0" fontId="5" fillId="5" borderId="37" xfId="0" applyFont="1" applyFill="1" applyBorder="1" applyAlignment="1"/>
    <xf numFmtId="0" fontId="5" fillId="5" borderId="38" xfId="0" applyFont="1" applyFill="1" applyBorder="1" applyAlignment="1"/>
    <xf numFmtId="0" fontId="5" fillId="9" borderId="36" xfId="0" applyFont="1" applyFill="1" applyBorder="1" applyAlignment="1">
      <alignment horizontal="center"/>
    </xf>
    <xf numFmtId="0" fontId="5" fillId="9" borderId="36" xfId="0" applyFont="1" applyFill="1" applyBorder="1" applyAlignment="1">
      <alignment horizontal="right"/>
    </xf>
    <xf numFmtId="164" fontId="5" fillId="9" borderId="37" xfId="0" applyNumberFormat="1" applyFont="1" applyFill="1" applyBorder="1" applyAlignment="1">
      <alignment horizontal="center"/>
    </xf>
    <xf numFmtId="0" fontId="5" fillId="9" borderId="37" xfId="0" applyFont="1" applyFill="1" applyBorder="1" applyAlignment="1"/>
    <xf numFmtId="0" fontId="5" fillId="9" borderId="38" xfId="0" applyFont="1" applyFill="1" applyBorder="1" applyAlignment="1"/>
    <xf numFmtId="0" fontId="5" fillId="32" borderId="36" xfId="0" applyFont="1" applyFill="1" applyBorder="1" applyAlignment="1">
      <alignment horizontal="center"/>
    </xf>
    <xf numFmtId="0" fontId="5" fillId="32" borderId="36" xfId="0" applyFont="1" applyFill="1" applyBorder="1" applyAlignment="1">
      <alignment horizontal="right"/>
    </xf>
    <xf numFmtId="164" fontId="5" fillId="32" borderId="37" xfId="0" applyNumberFormat="1" applyFont="1" applyFill="1" applyBorder="1" applyAlignment="1">
      <alignment horizontal="center"/>
    </xf>
    <xf numFmtId="0" fontId="5" fillId="32" borderId="37" xfId="0" applyFont="1" applyFill="1" applyBorder="1" applyAlignment="1"/>
    <xf numFmtId="0" fontId="5" fillId="32" borderId="38" xfId="0" applyFont="1" applyFill="1" applyBorder="1" applyAlignment="1"/>
    <xf numFmtId="0" fontId="0" fillId="10" borderId="0" xfId="0" applyFont="1" applyFill="1"/>
    <xf numFmtId="0" fontId="43" fillId="11" borderId="36" xfId="0" applyFont="1" applyFill="1" applyBorder="1" applyAlignment="1">
      <alignment horizontal="center"/>
    </xf>
    <xf numFmtId="0" fontId="43" fillId="11" borderId="36" xfId="0" applyFont="1" applyFill="1" applyBorder="1" applyAlignment="1">
      <alignment horizontal="right"/>
    </xf>
    <xf numFmtId="164" fontId="43" fillId="11" borderId="37" xfId="0" applyNumberFormat="1" applyFont="1" applyFill="1" applyBorder="1" applyAlignment="1">
      <alignment horizontal="center"/>
    </xf>
    <xf numFmtId="0" fontId="43" fillId="11" borderId="37" xfId="0" applyFont="1" applyFill="1" applyBorder="1" applyAlignment="1"/>
    <xf numFmtId="0" fontId="43" fillId="11" borderId="38" xfId="0" applyFont="1" applyFill="1" applyBorder="1" applyAlignment="1"/>
    <xf numFmtId="10" fontId="2" fillId="0" borderId="0" xfId="41" applyNumberFormat="1" applyFont="1"/>
    <xf numFmtId="0" fontId="5" fillId="32" borderId="4" xfId="0" applyFont="1" applyFill="1" applyBorder="1" applyAlignment="1">
      <alignment horizontal="center"/>
    </xf>
    <xf numFmtId="0" fontId="5" fillId="32" borderId="14" xfId="0" applyFont="1" applyFill="1" applyBorder="1" applyAlignment="1">
      <alignment horizontal="center"/>
    </xf>
    <xf numFmtId="0" fontId="5" fillId="9" borderId="5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15" xfId="0" applyFont="1" applyFill="1" applyBorder="1" applyAlignment="1">
      <alignment horizontal="center"/>
    </xf>
    <xf numFmtId="0" fontId="5" fillId="10" borderId="5" xfId="0" applyFont="1" applyFill="1" applyBorder="1" applyAlignment="1">
      <alignment horizontal="center"/>
    </xf>
    <xf numFmtId="0" fontId="5" fillId="10" borderId="15" xfId="0" applyFont="1" applyFill="1" applyBorder="1" applyAlignment="1">
      <alignment horizontal="center"/>
    </xf>
    <xf numFmtId="0" fontId="43" fillId="11" borderId="6" xfId="0" applyFont="1" applyFill="1" applyBorder="1" applyAlignment="1">
      <alignment horizontal="center"/>
    </xf>
    <xf numFmtId="0" fontId="43" fillId="11" borderId="16" xfId="0" applyFont="1" applyFill="1" applyBorder="1" applyAlignment="1">
      <alignment horizontal="center"/>
    </xf>
    <xf numFmtId="0" fontId="5" fillId="3" borderId="8" xfId="0" applyFont="1" applyFill="1" applyBorder="1"/>
    <xf numFmtId="0" fontId="5" fillId="3" borderId="11" xfId="0" applyFont="1" applyFill="1" applyBorder="1"/>
    <xf numFmtId="0" fontId="5" fillId="3" borderId="13" xfId="0" applyFont="1" applyFill="1" applyBorder="1"/>
    <xf numFmtId="0" fontId="45" fillId="10" borderId="36" xfId="0" applyFont="1" applyFill="1" applyBorder="1" applyAlignment="1">
      <alignment horizontal="center"/>
    </xf>
    <xf numFmtId="0" fontId="45" fillId="10" borderId="36" xfId="0" applyFont="1" applyFill="1" applyBorder="1" applyAlignment="1">
      <alignment horizontal="right"/>
    </xf>
    <xf numFmtId="164" fontId="45" fillId="10" borderId="37" xfId="0" applyNumberFormat="1" applyFont="1" applyFill="1" applyBorder="1" applyAlignment="1">
      <alignment horizontal="center"/>
    </xf>
    <xf numFmtId="0" fontId="45" fillId="10" borderId="37" xfId="0" applyFont="1" applyFill="1" applyBorder="1" applyAlignment="1"/>
    <xf numFmtId="0" fontId="45" fillId="10" borderId="38" xfId="0" applyFont="1" applyFill="1" applyBorder="1" applyAlignment="1"/>
    <xf numFmtId="0" fontId="5" fillId="3" borderId="0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right" vertical="center"/>
    </xf>
    <xf numFmtId="0" fontId="5" fillId="3" borderId="30" xfId="0" applyFont="1" applyFill="1" applyBorder="1" applyAlignment="1">
      <alignment horizontal="center" vertical="center"/>
    </xf>
    <xf numFmtId="0" fontId="5" fillId="3" borderId="31" xfId="0" applyFont="1" applyFill="1" applyBorder="1" applyAlignment="1">
      <alignment horizontal="center" vertical="center"/>
    </xf>
    <xf numFmtId="0" fontId="5" fillId="3" borderId="32" xfId="0" applyFont="1" applyFill="1" applyBorder="1" applyAlignment="1">
      <alignment horizontal="center" vertical="center"/>
    </xf>
    <xf numFmtId="0" fontId="5" fillId="3" borderId="35" xfId="0" applyFont="1" applyFill="1" applyBorder="1" applyAlignment="1">
      <alignment vertical="center"/>
    </xf>
    <xf numFmtId="0" fontId="5" fillId="3" borderId="40" xfId="0" applyFont="1" applyFill="1" applyBorder="1" applyAlignment="1">
      <alignment vertical="center"/>
    </xf>
    <xf numFmtId="164" fontId="5" fillId="33" borderId="36" xfId="0" applyNumberFormat="1" applyFont="1" applyFill="1" applyBorder="1" applyAlignment="1">
      <alignment vertical="center"/>
    </xf>
    <xf numFmtId="164" fontId="5" fillId="33" borderId="39" xfId="0" applyNumberFormat="1" applyFont="1" applyFill="1" applyBorder="1" applyAlignment="1">
      <alignment vertical="center"/>
    </xf>
    <xf numFmtId="164" fontId="2" fillId="33" borderId="39" xfId="0" applyNumberFormat="1" applyFont="1" applyFill="1" applyBorder="1" applyAlignment="1">
      <alignment vertical="center"/>
    </xf>
    <xf numFmtId="1" fontId="2" fillId="33" borderId="39" xfId="0" applyNumberFormat="1" applyFont="1" applyFill="1" applyBorder="1" applyAlignment="1">
      <alignment vertical="center"/>
    </xf>
    <xf numFmtId="1" fontId="2" fillId="33" borderId="41" xfId="0" applyNumberFormat="1" applyFont="1" applyFill="1" applyBorder="1" applyAlignment="1">
      <alignment vertical="center"/>
    </xf>
    <xf numFmtId="1" fontId="5" fillId="33" borderId="36" xfId="0" applyNumberFormat="1" applyFont="1" applyFill="1" applyBorder="1" applyAlignment="1">
      <alignment vertical="center"/>
    </xf>
    <xf numFmtId="1" fontId="5" fillId="33" borderId="39" xfId="0" applyNumberFormat="1" applyFont="1" applyFill="1" applyBorder="1" applyAlignment="1">
      <alignment vertical="center"/>
    </xf>
    <xf numFmtId="1" fontId="2" fillId="33" borderId="40" xfId="0" applyNumberFormat="1" applyFont="1" applyFill="1" applyBorder="1" applyAlignment="1">
      <alignment vertical="center"/>
    </xf>
    <xf numFmtId="1" fontId="5" fillId="33" borderId="34" xfId="0" applyNumberFormat="1" applyFont="1" applyFill="1" applyBorder="1" applyAlignment="1">
      <alignment vertical="center"/>
    </xf>
    <xf numFmtId="1" fontId="5" fillId="33" borderId="35" xfId="0" applyNumberFormat="1" applyFont="1" applyFill="1" applyBorder="1" applyAlignment="1">
      <alignment vertical="center"/>
    </xf>
    <xf numFmtId="1" fontId="2" fillId="33" borderId="35" xfId="0" applyNumberFormat="1" applyFont="1" applyFill="1" applyBorder="1" applyAlignment="1">
      <alignment vertical="center"/>
    </xf>
    <xf numFmtId="1" fontId="35" fillId="33" borderId="35" xfId="0" applyNumberFormat="1" applyFont="1" applyFill="1" applyBorder="1" applyAlignment="1">
      <alignment vertical="center"/>
    </xf>
    <xf numFmtId="1" fontId="35" fillId="33" borderId="40" xfId="0" applyNumberFormat="1" applyFont="1" applyFill="1" applyBorder="1" applyAlignment="1">
      <alignment vertical="center"/>
    </xf>
    <xf numFmtId="0" fontId="48" fillId="35" borderId="0" xfId="0" applyFont="1" applyFill="1"/>
    <xf numFmtId="0" fontId="2" fillId="34" borderId="0" xfId="0" applyFont="1" applyFill="1"/>
    <xf numFmtId="0" fontId="38" fillId="33" borderId="36" xfId="0" applyFont="1" applyFill="1" applyBorder="1" applyAlignment="1"/>
    <xf numFmtId="1" fontId="38" fillId="33" borderId="38" xfId="0" applyNumberFormat="1" applyFont="1" applyFill="1" applyBorder="1" applyAlignment="1">
      <alignment horizontal="center"/>
    </xf>
    <xf numFmtId="0" fontId="38" fillId="33" borderId="41" xfId="0" applyFont="1" applyFill="1" applyBorder="1" applyAlignment="1">
      <alignment textRotation="90"/>
    </xf>
    <xf numFmtId="0" fontId="38" fillId="33" borderId="9" xfId="0" applyFont="1" applyFill="1" applyBorder="1" applyAlignment="1">
      <alignment horizontal="center"/>
    </xf>
    <xf numFmtId="1" fontId="38" fillId="33" borderId="37" xfId="0" applyNumberFormat="1" applyFont="1" applyFill="1" applyBorder="1" applyAlignment="1">
      <alignment horizontal="center"/>
    </xf>
    <xf numFmtId="0" fontId="38" fillId="33" borderId="39" xfId="0" applyFont="1" applyFill="1" applyBorder="1" applyAlignment="1">
      <alignment textRotation="90"/>
    </xf>
    <xf numFmtId="0" fontId="38" fillId="33" borderId="0" xfId="0" applyFont="1" applyFill="1" applyBorder="1" applyAlignment="1">
      <alignment horizontal="center"/>
    </xf>
    <xf numFmtId="0" fontId="2" fillId="33" borderId="39" xfId="0" applyFont="1" applyFill="1" applyBorder="1"/>
    <xf numFmtId="0" fontId="2" fillId="33" borderId="41" xfId="0" applyFont="1" applyFill="1" applyBorder="1"/>
    <xf numFmtId="0" fontId="38" fillId="33" borderId="42" xfId="0" applyFont="1" applyFill="1" applyBorder="1" applyAlignment="1">
      <alignment horizontal="center"/>
    </xf>
    <xf numFmtId="0" fontId="38" fillId="33" borderId="33" xfId="0" applyFont="1" applyFill="1" applyBorder="1" applyAlignment="1">
      <alignment horizontal="center"/>
    </xf>
    <xf numFmtId="0" fontId="38" fillId="36" borderId="0" xfId="0" applyFont="1" applyFill="1" applyAlignment="1">
      <alignment horizontal="left"/>
    </xf>
    <xf numFmtId="0" fontId="2" fillId="36" borderId="0" xfId="0" applyFont="1" applyFill="1"/>
    <xf numFmtId="165" fontId="2" fillId="36" borderId="30" xfId="0" applyNumberFormat="1" applyFont="1" applyFill="1" applyBorder="1" applyAlignment="1">
      <alignment horizontal="center"/>
    </xf>
    <xf numFmtId="165" fontId="2" fillId="36" borderId="31" xfId="0" applyNumberFormat="1" applyFont="1" applyFill="1" applyBorder="1" applyAlignment="1">
      <alignment horizontal="center"/>
    </xf>
    <xf numFmtId="165" fontId="2" fillId="36" borderId="32" xfId="0" applyNumberFormat="1" applyFont="1" applyFill="1" applyBorder="1" applyAlignment="1">
      <alignment horizontal="center"/>
    </xf>
    <xf numFmtId="165" fontId="38" fillId="36" borderId="30" xfId="0" applyNumberFormat="1" applyFont="1" applyFill="1" applyBorder="1" applyAlignment="1">
      <alignment horizontal="center"/>
    </xf>
    <xf numFmtId="165" fontId="38" fillId="36" borderId="31" xfId="0" applyNumberFormat="1" applyFont="1" applyFill="1" applyBorder="1" applyAlignment="1">
      <alignment horizontal="center"/>
    </xf>
    <xf numFmtId="165" fontId="38" fillId="36" borderId="32" xfId="0" applyNumberFormat="1" applyFont="1" applyFill="1" applyBorder="1" applyAlignment="1">
      <alignment horizontal="center"/>
    </xf>
    <xf numFmtId="0" fontId="10" fillId="0" borderId="0" xfId="0" applyFont="1" applyAlignment="1">
      <alignment horizontal="left"/>
    </xf>
    <xf numFmtId="0" fontId="9" fillId="0" borderId="0" xfId="0" applyFont="1" applyBorder="1" applyAlignment="1">
      <alignment vertical="center"/>
    </xf>
    <xf numFmtId="0" fontId="2" fillId="33" borderId="33" xfId="0" applyFont="1" applyFill="1" applyBorder="1" applyAlignment="1">
      <alignment horizontal="center"/>
    </xf>
    <xf numFmtId="0" fontId="38" fillId="33" borderId="39" xfId="0" applyFont="1" applyFill="1" applyBorder="1" applyAlignment="1"/>
    <xf numFmtId="1" fontId="38" fillId="33" borderId="33" xfId="0" applyNumberFormat="1" applyFont="1" applyFill="1" applyBorder="1" applyAlignment="1">
      <alignment horizontal="center"/>
    </xf>
    <xf numFmtId="0" fontId="38" fillId="33" borderId="41" xfId="0" applyFont="1" applyFill="1" applyBorder="1" applyAlignment="1"/>
    <xf numFmtId="1" fontId="38" fillId="33" borderId="9" xfId="0" applyNumberFormat="1" applyFont="1" applyFill="1" applyBorder="1" applyAlignment="1">
      <alignment horizontal="center"/>
    </xf>
    <xf numFmtId="0" fontId="49" fillId="0" borderId="0" xfId="0" applyFont="1"/>
    <xf numFmtId="0" fontId="34" fillId="32" borderId="27" xfId="0" applyFont="1" applyFill="1" applyBorder="1" applyAlignment="1">
      <alignment horizontal="center"/>
    </xf>
    <xf numFmtId="0" fontId="34" fillId="5" borderId="51" xfId="0" applyFont="1" applyFill="1" applyBorder="1" applyAlignment="1">
      <alignment horizontal="center"/>
    </xf>
    <xf numFmtId="0" fontId="34" fillId="9" borderId="51" xfId="0" applyFont="1" applyFill="1" applyBorder="1" applyAlignment="1">
      <alignment horizontal="center"/>
    </xf>
    <xf numFmtId="0" fontId="34" fillId="10" borderId="51" xfId="0" applyFont="1" applyFill="1" applyBorder="1" applyAlignment="1">
      <alignment horizontal="center"/>
    </xf>
    <xf numFmtId="0" fontId="50" fillId="11" borderId="52" xfId="0" applyFont="1" applyFill="1" applyBorder="1" applyAlignment="1">
      <alignment horizontal="center"/>
    </xf>
    <xf numFmtId="0" fontId="2" fillId="0" borderId="0" xfId="0" applyFont="1" applyAlignment="1">
      <alignment horizontal="right"/>
    </xf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3" borderId="7" xfId="0" applyFont="1" applyFill="1" applyBorder="1" applyAlignment="1">
      <alignment horizontal="center" vertical="center" textRotation="90"/>
    </xf>
    <xf numFmtId="0" fontId="5" fillId="3" borderId="10" xfId="0" applyFont="1" applyFill="1" applyBorder="1" applyAlignment="1">
      <alignment horizontal="center" vertical="center" textRotation="90"/>
    </xf>
    <xf numFmtId="0" fontId="5" fillId="3" borderId="12" xfId="0" applyFont="1" applyFill="1" applyBorder="1" applyAlignment="1">
      <alignment horizontal="center" vertical="center" textRotation="90"/>
    </xf>
    <xf numFmtId="0" fontId="1" fillId="0" borderId="0" xfId="0" applyFont="1" applyAlignment="1">
      <alignment horizontal="center"/>
    </xf>
    <xf numFmtId="0" fontId="5" fillId="3" borderId="33" xfId="0" applyFont="1" applyFill="1" applyBorder="1" applyAlignment="1">
      <alignment horizontal="center" vertical="center" textRotation="90"/>
    </xf>
    <xf numFmtId="0" fontId="47" fillId="35" borderId="0" xfId="0" applyFont="1" applyFill="1" applyAlignment="1">
      <alignment horizontal="left"/>
    </xf>
    <xf numFmtId="0" fontId="32" fillId="33" borderId="33" xfId="0" applyFont="1" applyFill="1" applyBorder="1" applyAlignment="1">
      <alignment horizontal="right" vertical="center" textRotation="90"/>
    </xf>
    <xf numFmtId="0" fontId="12" fillId="9" borderId="30" xfId="0" applyFont="1" applyFill="1" applyBorder="1" applyAlignment="1">
      <alignment horizontal="center"/>
    </xf>
    <xf numFmtId="0" fontId="12" fillId="9" borderId="31" xfId="0" applyFont="1" applyFill="1" applyBorder="1" applyAlignment="1">
      <alignment horizontal="center"/>
    </xf>
    <xf numFmtId="0" fontId="12" fillId="9" borderId="32" xfId="0" applyFont="1" applyFill="1" applyBorder="1" applyAlignment="1">
      <alignment horizontal="center"/>
    </xf>
    <xf numFmtId="0" fontId="46" fillId="10" borderId="30" xfId="0" applyFont="1" applyFill="1" applyBorder="1" applyAlignment="1">
      <alignment horizontal="center"/>
    </xf>
    <xf numFmtId="0" fontId="46" fillId="10" borderId="31" xfId="0" applyFont="1" applyFill="1" applyBorder="1" applyAlignment="1">
      <alignment horizontal="center"/>
    </xf>
    <xf numFmtId="0" fontId="46" fillId="10" borderId="32" xfId="0" applyFont="1" applyFill="1" applyBorder="1" applyAlignment="1">
      <alignment horizontal="center"/>
    </xf>
    <xf numFmtId="0" fontId="44" fillId="11" borderId="30" xfId="0" applyFont="1" applyFill="1" applyBorder="1" applyAlignment="1">
      <alignment horizontal="center"/>
    </xf>
    <xf numFmtId="0" fontId="44" fillId="11" borderId="31" xfId="0" applyFont="1" applyFill="1" applyBorder="1" applyAlignment="1">
      <alignment horizontal="center"/>
    </xf>
    <xf numFmtId="0" fontId="44" fillId="11" borderId="32" xfId="0" applyFont="1" applyFill="1" applyBorder="1" applyAlignment="1">
      <alignment horizontal="center"/>
    </xf>
    <xf numFmtId="0" fontId="36" fillId="34" borderId="0" xfId="0" applyFont="1" applyFill="1" applyAlignment="1">
      <alignment horizontal="left"/>
    </xf>
    <xf numFmtId="0" fontId="5" fillId="6" borderId="0" xfId="0" applyFont="1" applyFill="1" applyBorder="1" applyAlignment="1">
      <alignment horizontal="left"/>
    </xf>
    <xf numFmtId="0" fontId="12" fillId="32" borderId="30" xfId="0" applyFont="1" applyFill="1" applyBorder="1" applyAlignment="1">
      <alignment horizontal="center"/>
    </xf>
    <xf numFmtId="0" fontId="12" fillId="32" borderId="31" xfId="0" applyFont="1" applyFill="1" applyBorder="1" applyAlignment="1">
      <alignment horizontal="center"/>
    </xf>
    <xf numFmtId="0" fontId="12" fillId="32" borderId="32" xfId="0" applyFont="1" applyFill="1" applyBorder="1" applyAlignment="1">
      <alignment horizontal="center"/>
    </xf>
    <xf numFmtId="0" fontId="12" fillId="5" borderId="30" xfId="0" applyFont="1" applyFill="1" applyBorder="1" applyAlignment="1">
      <alignment horizontal="center"/>
    </xf>
    <xf numFmtId="0" fontId="12" fillId="5" borderId="31" xfId="0" applyFont="1" applyFill="1" applyBorder="1" applyAlignment="1">
      <alignment horizontal="center"/>
    </xf>
    <xf numFmtId="0" fontId="12" fillId="5" borderId="32" xfId="0" applyFont="1" applyFill="1" applyBorder="1" applyAlignment="1">
      <alignment horizontal="center"/>
    </xf>
    <xf numFmtId="0" fontId="32" fillId="7" borderId="33" xfId="0" applyFont="1" applyFill="1" applyBorder="1" applyAlignment="1">
      <alignment horizontal="right" vertical="center" textRotation="90"/>
    </xf>
    <xf numFmtId="0" fontId="12" fillId="10" borderId="30" xfId="0" applyFont="1" applyFill="1" applyBorder="1" applyAlignment="1">
      <alignment horizontal="center"/>
    </xf>
    <xf numFmtId="0" fontId="12" fillId="10" borderId="31" xfId="0" applyFont="1" applyFill="1" applyBorder="1" applyAlignment="1">
      <alignment horizontal="center"/>
    </xf>
    <xf numFmtId="0" fontId="12" fillId="10" borderId="32" xfId="0" applyFont="1" applyFill="1" applyBorder="1" applyAlignment="1">
      <alignment horizontal="center"/>
    </xf>
    <xf numFmtId="0" fontId="33" fillId="11" borderId="30" xfId="0" applyFont="1" applyFill="1" applyBorder="1" applyAlignment="1">
      <alignment horizontal="center"/>
    </xf>
    <xf numFmtId="0" fontId="33" fillId="11" borderId="31" xfId="0" applyFont="1" applyFill="1" applyBorder="1" applyAlignment="1">
      <alignment horizontal="center"/>
    </xf>
    <xf numFmtId="0" fontId="33" fillId="11" borderId="32" xfId="0" applyFont="1" applyFill="1" applyBorder="1" applyAlignment="1">
      <alignment horizontal="center"/>
    </xf>
  </cellXfs>
  <cellStyles count="42">
    <cellStyle name="20 % - Accent1" xfId="1"/>
    <cellStyle name="20 % - Accent2" xfId="2"/>
    <cellStyle name="20 % - Accent3" xfId="3"/>
    <cellStyle name="20 % - Accent4" xfId="4"/>
    <cellStyle name="20 % - Accent5" xfId="5"/>
    <cellStyle name="20 % - Accent6" xfId="6"/>
    <cellStyle name="40 % - Accent1" xfId="7"/>
    <cellStyle name="40 % - Accent2" xfId="8"/>
    <cellStyle name="40 % - Accent3" xfId="9"/>
    <cellStyle name="40 % - Accent4" xfId="10"/>
    <cellStyle name="40 % - Accent5" xfId="11"/>
    <cellStyle name="40 % - Accent6" xfId="12"/>
    <cellStyle name="60 % - Accent1" xfId="13"/>
    <cellStyle name="60 % - Accent2" xfId="14"/>
    <cellStyle name="60 % - Accent3" xfId="15"/>
    <cellStyle name="60 % - Accent4" xfId="16"/>
    <cellStyle name="60 % - Accent5" xfId="17"/>
    <cellStyle name="60 % - Accent6" xfId="18"/>
    <cellStyle name="Avertissement" xfId="19"/>
    <cellStyle name="Calcul" xfId="20"/>
    <cellStyle name="Cellule liée" xfId="21"/>
    <cellStyle name="Commentaire" xfId="22"/>
    <cellStyle name="Entrée" xfId="23"/>
    <cellStyle name="Insatisfaisant" xfId="24"/>
    <cellStyle name="Millares [0]_Módulo1" xfId="25"/>
    <cellStyle name="Millares_Módulo1" xfId="26"/>
    <cellStyle name="Moneda [0]_Módulo1" xfId="27"/>
    <cellStyle name="Moneda_Módulo1" xfId="28"/>
    <cellStyle name="Neutre" xfId="29"/>
    <cellStyle name="Normal" xfId="0" builtinId="0"/>
    <cellStyle name="Normal 2" xfId="30"/>
    <cellStyle name="Percent" xfId="41" builtinId="5"/>
    <cellStyle name="Percent 2" xfId="31"/>
    <cellStyle name="Satisfaisant" xfId="32"/>
    <cellStyle name="Sortie" xfId="33"/>
    <cellStyle name="Texte explicatif" xfId="34"/>
    <cellStyle name="Titre" xfId="35"/>
    <cellStyle name="Titre 1" xfId="36"/>
    <cellStyle name="Titre 2" xfId="37"/>
    <cellStyle name="Titre 3" xfId="38"/>
    <cellStyle name="Titre 4" xfId="39"/>
    <cellStyle name="Vérification" xfId="40"/>
  </cellStyles>
  <dxfs count="0"/>
  <tableStyles count="0" defaultTableStyle="TableStyleMedium2" defaultPivotStyle="PivotStyleLight16"/>
  <colors>
    <mruColors>
      <color rgb="FFFFFFFF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888788674370288"/>
          <c:y val="8.8902327819371976E-2"/>
          <c:w val="0.76930313949265661"/>
          <c:h val="0.81474235744980539"/>
        </c:manualLayout>
      </c:layout>
      <c:scatterChart>
        <c:scatterStyle val="smoothMarker"/>
        <c:varyColors val="0"/>
        <c:ser>
          <c:idx val="0"/>
          <c:order val="0"/>
          <c:tx>
            <c:v> F1 0.2mmAl</c:v>
          </c:tx>
          <c:spPr>
            <a:ln w="31750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PDD!$B$8:$B$15</c:f>
              <c:numCache>
                <c:formatCode>0.00</c:formatCode>
                <c:ptCount val="8"/>
                <c:pt idx="0" formatCode="0.0">
                  <c:v>0</c:v>
                </c:pt>
                <c:pt idx="1">
                  <c:v>0.4</c:v>
                </c:pt>
                <c:pt idx="2">
                  <c:v>0.8</c:v>
                </c:pt>
                <c:pt idx="3" formatCode="0.0">
                  <c:v>1</c:v>
                </c:pt>
                <c:pt idx="4" formatCode="0.0">
                  <c:v>1.5</c:v>
                </c:pt>
                <c:pt idx="5" formatCode="0.0">
                  <c:v>2</c:v>
                </c:pt>
                <c:pt idx="6" formatCode="0.0">
                  <c:v>5</c:v>
                </c:pt>
                <c:pt idx="7" formatCode="0.0">
                  <c:v>10</c:v>
                </c:pt>
              </c:numCache>
            </c:numRef>
          </c:xVal>
          <c:yVal>
            <c:numRef>
              <c:f>PDD!$E$8:$E$15</c:f>
              <c:numCache>
                <c:formatCode>0</c:formatCode>
                <c:ptCount val="8"/>
                <c:pt idx="0">
                  <c:v>100</c:v>
                </c:pt>
                <c:pt idx="1">
                  <c:v>90.248837846052453</c:v>
                </c:pt>
                <c:pt idx="2">
                  <c:v>80.497675692104906</c:v>
                </c:pt>
                <c:pt idx="3">
                  <c:v>75.622094615131132</c:v>
                </c:pt>
                <c:pt idx="4">
                  <c:v>68.406519325658067</c:v>
                </c:pt>
                <c:pt idx="5">
                  <c:v>61.190944036184987</c:v>
                </c:pt>
                <c:pt idx="6">
                  <c:v>37.760229047216527</c:v>
                </c:pt>
                <c:pt idx="7">
                  <c:v>19.880977326689862</c:v>
                </c:pt>
              </c:numCache>
            </c:numRef>
          </c:yVal>
          <c:smooth val="1"/>
        </c:ser>
        <c:ser>
          <c:idx val="1"/>
          <c:order val="1"/>
          <c:tx>
            <c:v> F2 0.8mmAl</c:v>
          </c:tx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PDD!$B$37:$B$45</c:f>
              <c:numCache>
                <c:formatCode>0.0</c:formatCode>
                <c:ptCount val="9"/>
                <c:pt idx="0">
                  <c:v>0</c:v>
                </c:pt>
                <c:pt idx="1">
                  <c:v>1.49</c:v>
                </c:pt>
                <c:pt idx="2">
                  <c:v>1.7</c:v>
                </c:pt>
                <c:pt idx="3">
                  <c:v>2.9</c:v>
                </c:pt>
                <c:pt idx="4">
                  <c:v>3.2</c:v>
                </c:pt>
                <c:pt idx="5">
                  <c:v>6</c:v>
                </c:pt>
                <c:pt idx="6">
                  <c:v>8</c:v>
                </c:pt>
                <c:pt idx="7">
                  <c:v>12</c:v>
                </c:pt>
                <c:pt idx="8">
                  <c:v>20</c:v>
                </c:pt>
              </c:numCache>
            </c:numRef>
          </c:xVal>
          <c:yVal>
            <c:numRef>
              <c:f>PDD!$C$37:$C$45</c:f>
              <c:numCache>
                <c:formatCode>0</c:formatCode>
                <c:ptCount val="9"/>
                <c:pt idx="0">
                  <c:v>100</c:v>
                </c:pt>
                <c:pt idx="1">
                  <c:v>89.51061285714286</c:v>
                </c:pt>
                <c:pt idx="2">
                  <c:v>88.032242857142862</c:v>
                </c:pt>
                <c:pt idx="3">
                  <c:v>79.584414285714288</c:v>
                </c:pt>
                <c:pt idx="4">
                  <c:v>77.472457142857152</c:v>
                </c:pt>
                <c:pt idx="5">
                  <c:v>62.862571428571435</c:v>
                </c:pt>
                <c:pt idx="6">
                  <c:v>53.884571428571427</c:v>
                </c:pt>
                <c:pt idx="7">
                  <c:v>43.741571428571433</c:v>
                </c:pt>
                <c:pt idx="8">
                  <c:v>28.011904761904759</c:v>
                </c:pt>
              </c:numCache>
            </c:numRef>
          </c:yVal>
          <c:smooth val="1"/>
        </c:ser>
        <c:ser>
          <c:idx val="2"/>
          <c:order val="2"/>
          <c:tx>
            <c:v> F3 2.0mmAl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PDD!$B$68:$B$77</c:f>
              <c:numCache>
                <c:formatCode>0.0</c:formatCode>
                <c:ptCount val="10"/>
                <c:pt idx="0">
                  <c:v>0</c:v>
                </c:pt>
                <c:pt idx="1">
                  <c:v>2.1</c:v>
                </c:pt>
                <c:pt idx="2">
                  <c:v>2.7</c:v>
                </c:pt>
                <c:pt idx="3">
                  <c:v>4.2</c:v>
                </c:pt>
                <c:pt idx="4">
                  <c:v>4.5999999999999996</c:v>
                </c:pt>
                <c:pt idx="5">
                  <c:v>5.6</c:v>
                </c:pt>
                <c:pt idx="6">
                  <c:v>7</c:v>
                </c:pt>
                <c:pt idx="7">
                  <c:v>10</c:v>
                </c:pt>
                <c:pt idx="8">
                  <c:v>15</c:v>
                </c:pt>
                <c:pt idx="9">
                  <c:v>20</c:v>
                </c:pt>
              </c:numCache>
            </c:numRef>
          </c:xVal>
          <c:yVal>
            <c:numRef>
              <c:f>PDD!$C$68:$C$77</c:f>
              <c:numCache>
                <c:formatCode>0</c:formatCode>
                <c:ptCount val="10"/>
                <c:pt idx="0">
                  <c:v>100</c:v>
                </c:pt>
                <c:pt idx="1">
                  <c:v>89.878</c:v>
                </c:pt>
                <c:pt idx="2">
                  <c:v>86.986000000000004</c:v>
                </c:pt>
                <c:pt idx="3">
                  <c:v>79.756</c:v>
                </c:pt>
                <c:pt idx="4">
                  <c:v>77.828000000000003</c:v>
                </c:pt>
                <c:pt idx="5">
                  <c:v>73.77600000000001</c:v>
                </c:pt>
                <c:pt idx="6">
                  <c:v>68.820000000000007</c:v>
                </c:pt>
                <c:pt idx="7">
                  <c:v>58.2</c:v>
                </c:pt>
                <c:pt idx="8">
                  <c:v>47.6</c:v>
                </c:pt>
                <c:pt idx="9">
                  <c:v>37</c:v>
                </c:pt>
              </c:numCache>
            </c:numRef>
          </c:yVal>
          <c:smooth val="1"/>
        </c:ser>
        <c:ser>
          <c:idx val="3"/>
          <c:order val="3"/>
          <c:tx>
            <c:v> F4 2.6mmAl</c:v>
          </c:tx>
          <c:marker>
            <c:symbol val="none"/>
          </c:marker>
          <c:xVal>
            <c:numRef>
              <c:f>PDD!$B$102:$B$112</c:f>
              <c:numCache>
                <c:formatCode>0.0</c:formatCode>
                <c:ptCount val="11"/>
                <c:pt idx="0">
                  <c:v>0</c:v>
                </c:pt>
                <c:pt idx="1">
                  <c:v>2.38</c:v>
                </c:pt>
                <c:pt idx="2">
                  <c:v>3</c:v>
                </c:pt>
                <c:pt idx="3">
                  <c:v>3.7</c:v>
                </c:pt>
                <c:pt idx="4">
                  <c:v>4.5999999999999996</c:v>
                </c:pt>
                <c:pt idx="5">
                  <c:v>5.4</c:v>
                </c:pt>
                <c:pt idx="6">
                  <c:v>6.6</c:v>
                </c:pt>
                <c:pt idx="7">
                  <c:v>10</c:v>
                </c:pt>
                <c:pt idx="8">
                  <c:v>15</c:v>
                </c:pt>
                <c:pt idx="9">
                  <c:v>25</c:v>
                </c:pt>
                <c:pt idx="10">
                  <c:v>35</c:v>
                </c:pt>
              </c:numCache>
            </c:numRef>
          </c:xVal>
          <c:yVal>
            <c:numRef>
              <c:f>PDD!$C$102:$C$112</c:f>
              <c:numCache>
                <c:formatCode>0</c:formatCode>
                <c:ptCount val="11"/>
                <c:pt idx="0">
                  <c:v>100</c:v>
                </c:pt>
                <c:pt idx="1">
                  <c:v>89.515624000000003</c:v>
                </c:pt>
                <c:pt idx="2">
                  <c:v>86.784400000000005</c:v>
                </c:pt>
                <c:pt idx="3">
                  <c:v>83.700760000000002</c:v>
                </c:pt>
                <c:pt idx="4">
                  <c:v>79.736080000000001</c:v>
                </c:pt>
                <c:pt idx="5">
                  <c:v>76.660480000000007</c:v>
                </c:pt>
                <c:pt idx="6">
                  <c:v>72.719920000000002</c:v>
                </c:pt>
                <c:pt idx="7">
                  <c:v>61.555</c:v>
                </c:pt>
                <c:pt idx="8">
                  <c:v>50.680499999999995</c:v>
                </c:pt>
                <c:pt idx="9">
                  <c:v>33.355999999999995</c:v>
                </c:pt>
                <c:pt idx="10">
                  <c:v>22.853499999999997</c:v>
                </c:pt>
              </c:numCache>
            </c:numRef>
          </c:yVal>
          <c:smooth val="1"/>
        </c:ser>
        <c:ser>
          <c:idx val="4"/>
          <c:order val="4"/>
          <c:tx>
            <c:v> F5 4.0mmAl</c:v>
          </c:tx>
          <c:spPr>
            <a:ln>
              <a:solidFill>
                <a:schemeClr val="bg2">
                  <a:lumMod val="25000"/>
                </a:schemeClr>
              </a:solidFill>
            </a:ln>
          </c:spPr>
          <c:marker>
            <c:symbol val="none"/>
          </c:marker>
          <c:xVal>
            <c:numRef>
              <c:f>PDD!$B$137:$B$147</c:f>
              <c:numCache>
                <c:formatCode>0.0</c:formatCode>
                <c:ptCount val="11"/>
                <c:pt idx="0">
                  <c:v>0</c:v>
                </c:pt>
                <c:pt idx="1">
                  <c:v>2.8</c:v>
                </c:pt>
                <c:pt idx="2">
                  <c:v>3.4</c:v>
                </c:pt>
                <c:pt idx="3">
                  <c:v>4</c:v>
                </c:pt>
                <c:pt idx="4">
                  <c:v>5.7</c:v>
                </c:pt>
                <c:pt idx="5">
                  <c:v>7</c:v>
                </c:pt>
                <c:pt idx="6">
                  <c:v>8</c:v>
                </c:pt>
                <c:pt idx="7">
                  <c:v>10</c:v>
                </c:pt>
                <c:pt idx="8">
                  <c:v>20</c:v>
                </c:pt>
                <c:pt idx="9">
                  <c:v>30</c:v>
                </c:pt>
                <c:pt idx="10">
                  <c:v>40</c:v>
                </c:pt>
              </c:numCache>
            </c:numRef>
          </c:xVal>
          <c:yVal>
            <c:numRef>
              <c:f>PDD!$C$137:$C$147</c:f>
              <c:numCache>
                <c:formatCode>0</c:formatCode>
                <c:ptCount val="11"/>
                <c:pt idx="0">
                  <c:v>100</c:v>
                </c:pt>
                <c:pt idx="1">
                  <c:v>89.695999999999998</c:v>
                </c:pt>
                <c:pt idx="2">
                  <c:v>87.488</c:v>
                </c:pt>
                <c:pt idx="3">
                  <c:v>85.28</c:v>
                </c:pt>
                <c:pt idx="4">
                  <c:v>79.625999999999991</c:v>
                </c:pt>
                <c:pt idx="5">
                  <c:v>75.959999999999994</c:v>
                </c:pt>
                <c:pt idx="6">
                  <c:v>73.14</c:v>
                </c:pt>
                <c:pt idx="7">
                  <c:v>67.5</c:v>
                </c:pt>
                <c:pt idx="8">
                  <c:v>45.8</c:v>
                </c:pt>
                <c:pt idx="9">
                  <c:v>30</c:v>
                </c:pt>
                <c:pt idx="10">
                  <c:v>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05984"/>
        <c:axId val="148907904"/>
      </c:scatterChart>
      <c:valAx>
        <c:axId val="148905984"/>
        <c:scaling>
          <c:orientation val="minMax"/>
          <c:max val="14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depth [mm]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48907904"/>
        <c:crosses val="autoZero"/>
        <c:crossBetween val="midCat"/>
        <c:majorUnit val="2"/>
        <c:minorUnit val="1"/>
      </c:valAx>
      <c:valAx>
        <c:axId val="148907904"/>
        <c:scaling>
          <c:orientation val="minMax"/>
          <c:max val="101"/>
          <c:min val="60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PDD (diam=1cm)</a:t>
                </a:r>
              </a:p>
            </c:rich>
          </c:tx>
          <c:layout>
            <c:manualLayout>
              <c:xMode val="edge"/>
              <c:yMode val="edge"/>
              <c:x val="1.7718435403308863E-2"/>
              <c:y val="0.3866180870878187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148905984"/>
        <c:crosses val="autoZero"/>
        <c:crossBetween val="midCat"/>
        <c:majorUnit val="5"/>
        <c:minorUnit val="1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61865113738517497"/>
          <c:y val="6.3004852465133931E-2"/>
          <c:w val="0.32446472052055991"/>
          <c:h val="0.16998648529772273"/>
        </c:manualLayout>
      </c:layout>
      <c:overlay val="0"/>
      <c:spPr>
        <a:solidFill>
          <a:srgbClr val="FFFFFF"/>
        </a:solidFill>
        <a:ln>
          <a:noFill/>
        </a:ln>
      </c:spPr>
      <c:txPr>
        <a:bodyPr/>
        <a:lstStyle/>
        <a:p>
          <a:pPr>
            <a:defRPr sz="1400" b="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>
      <a:noFill/>
    </a:ln>
  </c:spPr>
  <c:printSettings>
    <c:headerFooter/>
    <c:pageMargins b="0.75" l="0.7" r="0.7" t="0.75" header="0.3" footer="0.3"/>
    <c:pageSetup orientation="portrait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888788674370288"/>
          <c:y val="8.8902327819371976E-2"/>
          <c:w val="0.76930313949265661"/>
          <c:h val="0.81474235744980539"/>
        </c:manualLayout>
      </c:layout>
      <c:scatterChart>
        <c:scatterStyle val="smoothMarker"/>
        <c:varyColors val="0"/>
        <c:ser>
          <c:idx val="0"/>
          <c:order val="0"/>
          <c:tx>
            <c:v> F1 0.2mmAl</c:v>
          </c:tx>
          <c:spPr>
            <a:ln w="31750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PDD!$B$8:$B$15</c:f>
              <c:numCache>
                <c:formatCode>0.00</c:formatCode>
                <c:ptCount val="8"/>
                <c:pt idx="0" formatCode="0.0">
                  <c:v>0</c:v>
                </c:pt>
                <c:pt idx="1">
                  <c:v>0.4</c:v>
                </c:pt>
                <c:pt idx="2">
                  <c:v>0.8</c:v>
                </c:pt>
                <c:pt idx="3" formatCode="0.0">
                  <c:v>1</c:v>
                </c:pt>
                <c:pt idx="4" formatCode="0.0">
                  <c:v>1.5</c:v>
                </c:pt>
                <c:pt idx="5" formatCode="0.0">
                  <c:v>2</c:v>
                </c:pt>
                <c:pt idx="6" formatCode="0.0">
                  <c:v>5</c:v>
                </c:pt>
                <c:pt idx="7" formatCode="0.0">
                  <c:v>10</c:v>
                </c:pt>
              </c:numCache>
            </c:numRef>
          </c:xVal>
          <c:yVal>
            <c:numRef>
              <c:f>PDD!$E$8:$E$15</c:f>
              <c:numCache>
                <c:formatCode>0</c:formatCode>
                <c:ptCount val="8"/>
                <c:pt idx="0">
                  <c:v>100</c:v>
                </c:pt>
                <c:pt idx="1">
                  <c:v>90.248837846052453</c:v>
                </c:pt>
                <c:pt idx="2">
                  <c:v>80.497675692104906</c:v>
                </c:pt>
                <c:pt idx="3">
                  <c:v>75.622094615131132</c:v>
                </c:pt>
                <c:pt idx="4">
                  <c:v>68.406519325658067</c:v>
                </c:pt>
                <c:pt idx="5">
                  <c:v>61.190944036184987</c:v>
                </c:pt>
                <c:pt idx="6">
                  <c:v>37.760229047216527</c:v>
                </c:pt>
                <c:pt idx="7">
                  <c:v>19.880977326689862</c:v>
                </c:pt>
              </c:numCache>
            </c:numRef>
          </c:yVal>
          <c:smooth val="1"/>
        </c:ser>
        <c:ser>
          <c:idx val="1"/>
          <c:order val="1"/>
          <c:tx>
            <c:v> F2 0.8mmAl</c:v>
          </c:tx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PDD!$B$37:$B$45</c:f>
              <c:numCache>
                <c:formatCode>0.0</c:formatCode>
                <c:ptCount val="9"/>
                <c:pt idx="0">
                  <c:v>0</c:v>
                </c:pt>
                <c:pt idx="1">
                  <c:v>1.49</c:v>
                </c:pt>
                <c:pt idx="2">
                  <c:v>1.7</c:v>
                </c:pt>
                <c:pt idx="3">
                  <c:v>2.9</c:v>
                </c:pt>
                <c:pt idx="4">
                  <c:v>3.2</c:v>
                </c:pt>
                <c:pt idx="5">
                  <c:v>6</c:v>
                </c:pt>
                <c:pt idx="6">
                  <c:v>8</c:v>
                </c:pt>
                <c:pt idx="7">
                  <c:v>12</c:v>
                </c:pt>
                <c:pt idx="8">
                  <c:v>20</c:v>
                </c:pt>
              </c:numCache>
            </c:numRef>
          </c:xVal>
          <c:yVal>
            <c:numRef>
              <c:f>PDD!$D$37:$D$45</c:f>
              <c:numCache>
                <c:formatCode>0</c:formatCode>
                <c:ptCount val="9"/>
                <c:pt idx="0">
                  <c:v>100</c:v>
                </c:pt>
                <c:pt idx="1">
                  <c:v>90.148971428571429</c:v>
                </c:pt>
                <c:pt idx="2">
                  <c:v>88.760571428571438</c:v>
                </c:pt>
                <c:pt idx="3">
                  <c:v>80.826857142857151</c:v>
                </c:pt>
                <c:pt idx="4">
                  <c:v>78.843428571428575</c:v>
                </c:pt>
                <c:pt idx="5">
                  <c:v>64.90995238095239</c:v>
                </c:pt>
                <c:pt idx="6">
                  <c:v>56.265619047619047</c:v>
                </c:pt>
                <c:pt idx="7">
                  <c:v>46.096952380952388</c:v>
                </c:pt>
                <c:pt idx="8">
                  <c:v>30.121619047619049</c:v>
                </c:pt>
              </c:numCache>
            </c:numRef>
          </c:yVal>
          <c:smooth val="1"/>
        </c:ser>
        <c:ser>
          <c:idx val="2"/>
          <c:order val="2"/>
          <c:tx>
            <c:v> F3 2.0mmAl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PDD!$B$68:$B$77</c:f>
              <c:numCache>
                <c:formatCode>0.0</c:formatCode>
                <c:ptCount val="10"/>
                <c:pt idx="0">
                  <c:v>0</c:v>
                </c:pt>
                <c:pt idx="1">
                  <c:v>2.1</c:v>
                </c:pt>
                <c:pt idx="2">
                  <c:v>2.7</c:v>
                </c:pt>
                <c:pt idx="3">
                  <c:v>4.2</c:v>
                </c:pt>
                <c:pt idx="4">
                  <c:v>4.5999999999999996</c:v>
                </c:pt>
                <c:pt idx="5">
                  <c:v>5.6</c:v>
                </c:pt>
                <c:pt idx="6">
                  <c:v>7</c:v>
                </c:pt>
                <c:pt idx="7">
                  <c:v>10</c:v>
                </c:pt>
                <c:pt idx="8">
                  <c:v>15</c:v>
                </c:pt>
                <c:pt idx="9">
                  <c:v>20</c:v>
                </c:pt>
              </c:numCache>
            </c:numRef>
          </c:xVal>
          <c:yVal>
            <c:numRef>
              <c:f>PDD!$D$68:$D$77</c:f>
              <c:numCache>
                <c:formatCode>0</c:formatCode>
                <c:ptCount val="10"/>
                <c:pt idx="0">
                  <c:v>100</c:v>
                </c:pt>
                <c:pt idx="1">
                  <c:v>91.39</c:v>
                </c:pt>
                <c:pt idx="2">
                  <c:v>88.93</c:v>
                </c:pt>
                <c:pt idx="3">
                  <c:v>82.78</c:v>
                </c:pt>
                <c:pt idx="4">
                  <c:v>81.14</c:v>
                </c:pt>
                <c:pt idx="5">
                  <c:v>77.628</c:v>
                </c:pt>
                <c:pt idx="6">
                  <c:v>73.260000000000005</c:v>
                </c:pt>
                <c:pt idx="7">
                  <c:v>63.9</c:v>
                </c:pt>
                <c:pt idx="8">
                  <c:v>53</c:v>
                </c:pt>
                <c:pt idx="9">
                  <c:v>42.1</c:v>
                </c:pt>
              </c:numCache>
            </c:numRef>
          </c:yVal>
          <c:smooth val="1"/>
        </c:ser>
        <c:ser>
          <c:idx val="3"/>
          <c:order val="3"/>
          <c:tx>
            <c:v> F4 2.6mmAl</c:v>
          </c:tx>
          <c:marker>
            <c:symbol val="none"/>
          </c:marker>
          <c:xVal>
            <c:numRef>
              <c:f>PDD!$B$102:$B$112</c:f>
              <c:numCache>
                <c:formatCode>0.0</c:formatCode>
                <c:ptCount val="11"/>
                <c:pt idx="0">
                  <c:v>0</c:v>
                </c:pt>
                <c:pt idx="1">
                  <c:v>2.38</c:v>
                </c:pt>
                <c:pt idx="2">
                  <c:v>3</c:v>
                </c:pt>
                <c:pt idx="3">
                  <c:v>3.7</c:v>
                </c:pt>
                <c:pt idx="4">
                  <c:v>4.5999999999999996</c:v>
                </c:pt>
                <c:pt idx="5">
                  <c:v>5.4</c:v>
                </c:pt>
                <c:pt idx="6">
                  <c:v>6.6</c:v>
                </c:pt>
                <c:pt idx="7">
                  <c:v>10</c:v>
                </c:pt>
                <c:pt idx="8">
                  <c:v>15</c:v>
                </c:pt>
                <c:pt idx="9">
                  <c:v>25</c:v>
                </c:pt>
                <c:pt idx="10">
                  <c:v>35</c:v>
                </c:pt>
              </c:numCache>
            </c:numRef>
          </c:xVal>
          <c:yVal>
            <c:numRef>
              <c:f>PDD!$D$102:$D$112</c:f>
              <c:numCache>
                <c:formatCode>0</c:formatCode>
                <c:ptCount val="11"/>
                <c:pt idx="0">
                  <c:v>100</c:v>
                </c:pt>
                <c:pt idx="1">
                  <c:v>91.171152000000006</c:v>
                </c:pt>
                <c:pt idx="2">
                  <c:v>88.871200000000002</c:v>
                </c:pt>
                <c:pt idx="3">
                  <c:v>86.274479999999997</c:v>
                </c:pt>
                <c:pt idx="4">
                  <c:v>82.935839999999999</c:v>
                </c:pt>
                <c:pt idx="5">
                  <c:v>80.272319999999993</c:v>
                </c:pt>
                <c:pt idx="6">
                  <c:v>76.733280000000008</c:v>
                </c:pt>
                <c:pt idx="7">
                  <c:v>66.706000000000003</c:v>
                </c:pt>
                <c:pt idx="8">
                  <c:v>56.019500000000001</c:v>
                </c:pt>
                <c:pt idx="9">
                  <c:v>38.130499999999998</c:v>
                </c:pt>
                <c:pt idx="10">
                  <c:v>26.3645</c:v>
                </c:pt>
              </c:numCache>
            </c:numRef>
          </c:yVal>
          <c:smooth val="1"/>
        </c:ser>
        <c:ser>
          <c:idx val="4"/>
          <c:order val="4"/>
          <c:tx>
            <c:v> F5 4.0mmAl</c:v>
          </c:tx>
          <c:spPr>
            <a:ln>
              <a:solidFill>
                <a:schemeClr val="bg2">
                  <a:lumMod val="25000"/>
                </a:schemeClr>
              </a:solidFill>
            </a:ln>
          </c:spPr>
          <c:marker>
            <c:symbol val="none"/>
          </c:marker>
          <c:xVal>
            <c:numRef>
              <c:f>PDD!$B$137:$B$147</c:f>
              <c:numCache>
                <c:formatCode>0.0</c:formatCode>
                <c:ptCount val="11"/>
                <c:pt idx="0">
                  <c:v>0</c:v>
                </c:pt>
                <c:pt idx="1">
                  <c:v>2.8</c:v>
                </c:pt>
                <c:pt idx="2">
                  <c:v>3.4</c:v>
                </c:pt>
                <c:pt idx="3">
                  <c:v>4</c:v>
                </c:pt>
                <c:pt idx="4">
                  <c:v>5.7</c:v>
                </c:pt>
                <c:pt idx="5">
                  <c:v>7</c:v>
                </c:pt>
                <c:pt idx="6">
                  <c:v>8</c:v>
                </c:pt>
                <c:pt idx="7">
                  <c:v>10</c:v>
                </c:pt>
                <c:pt idx="8">
                  <c:v>20</c:v>
                </c:pt>
                <c:pt idx="9">
                  <c:v>30</c:v>
                </c:pt>
                <c:pt idx="10">
                  <c:v>40</c:v>
                </c:pt>
              </c:numCache>
            </c:numRef>
          </c:xVal>
          <c:yVal>
            <c:numRef>
              <c:f>PDD!$D$137:$D$147</c:f>
              <c:numCache>
                <c:formatCode>0</c:formatCode>
                <c:ptCount val="11"/>
                <c:pt idx="0">
                  <c:v>100</c:v>
                </c:pt>
                <c:pt idx="1">
                  <c:v>91.432000000000002</c:v>
                </c:pt>
                <c:pt idx="2">
                  <c:v>89.596000000000004</c:v>
                </c:pt>
                <c:pt idx="3">
                  <c:v>87.76</c:v>
                </c:pt>
                <c:pt idx="4">
                  <c:v>82.894000000000005</c:v>
                </c:pt>
                <c:pt idx="5">
                  <c:v>79.540000000000006</c:v>
                </c:pt>
                <c:pt idx="6">
                  <c:v>76.959999999999994</c:v>
                </c:pt>
                <c:pt idx="7">
                  <c:v>71.8</c:v>
                </c:pt>
                <c:pt idx="8">
                  <c:v>50.5</c:v>
                </c:pt>
                <c:pt idx="9">
                  <c:v>34.799999999999997</c:v>
                </c:pt>
                <c:pt idx="10">
                  <c:v>25.7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142976"/>
        <c:axId val="150144896"/>
      </c:scatterChart>
      <c:valAx>
        <c:axId val="150142976"/>
        <c:scaling>
          <c:orientation val="minMax"/>
          <c:max val="14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depth [mm]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50144896"/>
        <c:crosses val="autoZero"/>
        <c:crossBetween val="midCat"/>
        <c:majorUnit val="2"/>
        <c:minorUnit val="1"/>
      </c:valAx>
      <c:valAx>
        <c:axId val="150144896"/>
        <c:scaling>
          <c:orientation val="minMax"/>
          <c:max val="101"/>
          <c:min val="60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PDD (diam=1cm)</a:t>
                </a:r>
              </a:p>
            </c:rich>
          </c:tx>
          <c:layout>
            <c:manualLayout>
              <c:xMode val="edge"/>
              <c:yMode val="edge"/>
              <c:x val="1.7718435403308863E-2"/>
              <c:y val="0.3866180870878187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150142976"/>
        <c:crosses val="autoZero"/>
        <c:crossBetween val="midCat"/>
        <c:majorUnit val="5"/>
        <c:minorUnit val="1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61865113738517497"/>
          <c:y val="6.3004852465133931E-2"/>
          <c:w val="0.32446472052055991"/>
          <c:h val="0.16998648529772273"/>
        </c:manualLayout>
      </c:layout>
      <c:overlay val="0"/>
      <c:spPr>
        <a:solidFill>
          <a:srgbClr val="FFFFFF"/>
        </a:solidFill>
        <a:ln>
          <a:noFill/>
        </a:ln>
      </c:spPr>
      <c:txPr>
        <a:bodyPr/>
        <a:lstStyle/>
        <a:p>
          <a:pPr>
            <a:defRPr sz="1400" b="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>
      <a:noFill/>
    </a:ln>
  </c:spPr>
  <c:printSettings>
    <c:headerFooter/>
    <c:pageMargins b="0.75" l="0.7" r="0.7" t="0.75" header="0.3" footer="0.3"/>
    <c:pageSetup orientation="portrait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888788674370288"/>
          <c:y val="8.8902327819371976E-2"/>
          <c:w val="0.76930313949265661"/>
          <c:h val="0.81474235744980539"/>
        </c:manualLayout>
      </c:layout>
      <c:scatterChart>
        <c:scatterStyle val="smoothMarker"/>
        <c:varyColors val="0"/>
        <c:ser>
          <c:idx val="0"/>
          <c:order val="0"/>
          <c:tx>
            <c:v> F1 0.2mmAl</c:v>
          </c:tx>
          <c:spPr>
            <a:ln w="31750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PDD!$B$8:$B$15</c:f>
              <c:numCache>
                <c:formatCode>0.00</c:formatCode>
                <c:ptCount val="8"/>
                <c:pt idx="0" formatCode="0.0">
                  <c:v>0</c:v>
                </c:pt>
                <c:pt idx="1">
                  <c:v>0.4</c:v>
                </c:pt>
                <c:pt idx="2">
                  <c:v>0.8</c:v>
                </c:pt>
                <c:pt idx="3" formatCode="0.0">
                  <c:v>1</c:v>
                </c:pt>
                <c:pt idx="4" formatCode="0.0">
                  <c:v>1.5</c:v>
                </c:pt>
                <c:pt idx="5" formatCode="0.0">
                  <c:v>2</c:v>
                </c:pt>
                <c:pt idx="6" formatCode="0.0">
                  <c:v>5</c:v>
                </c:pt>
                <c:pt idx="7" formatCode="0.0">
                  <c:v>10</c:v>
                </c:pt>
              </c:numCache>
            </c:numRef>
          </c:xVal>
          <c:yVal>
            <c:numRef>
              <c:f>PDD!$E$8:$E$15</c:f>
              <c:numCache>
                <c:formatCode>0</c:formatCode>
                <c:ptCount val="8"/>
                <c:pt idx="0">
                  <c:v>100</c:v>
                </c:pt>
                <c:pt idx="1">
                  <c:v>90.248837846052453</c:v>
                </c:pt>
                <c:pt idx="2">
                  <c:v>80.497675692104906</c:v>
                </c:pt>
                <c:pt idx="3">
                  <c:v>75.622094615131132</c:v>
                </c:pt>
                <c:pt idx="4">
                  <c:v>68.406519325658067</c:v>
                </c:pt>
                <c:pt idx="5">
                  <c:v>61.190944036184987</c:v>
                </c:pt>
                <c:pt idx="6">
                  <c:v>37.760229047216527</c:v>
                </c:pt>
                <c:pt idx="7">
                  <c:v>19.880977326689862</c:v>
                </c:pt>
              </c:numCache>
            </c:numRef>
          </c:yVal>
          <c:smooth val="1"/>
        </c:ser>
        <c:ser>
          <c:idx val="1"/>
          <c:order val="1"/>
          <c:tx>
            <c:v> F2 0.8mmAl</c:v>
          </c:tx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PDD!$B$37:$B$45</c:f>
              <c:numCache>
                <c:formatCode>0.0</c:formatCode>
                <c:ptCount val="9"/>
                <c:pt idx="0">
                  <c:v>0</c:v>
                </c:pt>
                <c:pt idx="1">
                  <c:v>1.49</c:v>
                </c:pt>
                <c:pt idx="2">
                  <c:v>1.7</c:v>
                </c:pt>
                <c:pt idx="3">
                  <c:v>2.9</c:v>
                </c:pt>
                <c:pt idx="4">
                  <c:v>3.2</c:v>
                </c:pt>
                <c:pt idx="5">
                  <c:v>6</c:v>
                </c:pt>
                <c:pt idx="6">
                  <c:v>8</c:v>
                </c:pt>
                <c:pt idx="7">
                  <c:v>12</c:v>
                </c:pt>
                <c:pt idx="8">
                  <c:v>20</c:v>
                </c:pt>
              </c:numCache>
            </c:numRef>
          </c:xVal>
          <c:yVal>
            <c:numRef>
              <c:f>PDD!$E$37:$E$45</c:f>
              <c:numCache>
                <c:formatCode>0</c:formatCode>
                <c:ptCount val="9"/>
                <c:pt idx="0">
                  <c:v>100</c:v>
                </c:pt>
                <c:pt idx="1">
                  <c:v>90.601576666666674</c:v>
                </c:pt>
                <c:pt idx="2">
                  <c:v>89.276966666666667</c:v>
                </c:pt>
                <c:pt idx="3">
                  <c:v>81.707766666666672</c:v>
                </c:pt>
                <c:pt idx="4">
                  <c:v>79.81546666666668</c:v>
                </c:pt>
                <c:pt idx="5">
                  <c:v>66.297333333333341</c:v>
                </c:pt>
                <c:pt idx="6">
                  <c:v>57.825333333333333</c:v>
                </c:pt>
                <c:pt idx="7">
                  <c:v>47.664000000000001</c:v>
                </c:pt>
                <c:pt idx="8">
                  <c:v>31.637333333333338</c:v>
                </c:pt>
              </c:numCache>
            </c:numRef>
          </c:yVal>
          <c:smooth val="1"/>
        </c:ser>
        <c:ser>
          <c:idx val="2"/>
          <c:order val="2"/>
          <c:tx>
            <c:v> F3 2.0mmAl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PDD!$B$68:$B$77</c:f>
              <c:numCache>
                <c:formatCode>0.0</c:formatCode>
                <c:ptCount val="10"/>
                <c:pt idx="0">
                  <c:v>0</c:v>
                </c:pt>
                <c:pt idx="1">
                  <c:v>2.1</c:v>
                </c:pt>
                <c:pt idx="2">
                  <c:v>2.7</c:v>
                </c:pt>
                <c:pt idx="3">
                  <c:v>4.2</c:v>
                </c:pt>
                <c:pt idx="4">
                  <c:v>4.5999999999999996</c:v>
                </c:pt>
                <c:pt idx="5">
                  <c:v>5.6</c:v>
                </c:pt>
                <c:pt idx="6">
                  <c:v>7</c:v>
                </c:pt>
                <c:pt idx="7">
                  <c:v>10</c:v>
                </c:pt>
                <c:pt idx="8">
                  <c:v>15</c:v>
                </c:pt>
                <c:pt idx="9">
                  <c:v>20</c:v>
                </c:pt>
              </c:numCache>
            </c:numRef>
          </c:xVal>
          <c:yVal>
            <c:numRef>
              <c:f>PDD!$E$68:$E$77</c:f>
              <c:numCache>
                <c:formatCode>0</c:formatCode>
                <c:ptCount val="10"/>
                <c:pt idx="0">
                  <c:v>100</c:v>
                </c:pt>
                <c:pt idx="1">
                  <c:v>92.44</c:v>
                </c:pt>
                <c:pt idx="2">
                  <c:v>90.28</c:v>
                </c:pt>
                <c:pt idx="3">
                  <c:v>84.88</c:v>
                </c:pt>
                <c:pt idx="4">
                  <c:v>83.44</c:v>
                </c:pt>
                <c:pt idx="5">
                  <c:v>80.332000000000008</c:v>
                </c:pt>
                <c:pt idx="6">
                  <c:v>76.44</c:v>
                </c:pt>
                <c:pt idx="7">
                  <c:v>68.099999999999994</c:v>
                </c:pt>
                <c:pt idx="8">
                  <c:v>57.099999999999994</c:v>
                </c:pt>
                <c:pt idx="9">
                  <c:v>46.1</c:v>
                </c:pt>
              </c:numCache>
            </c:numRef>
          </c:yVal>
          <c:smooth val="1"/>
        </c:ser>
        <c:ser>
          <c:idx val="3"/>
          <c:order val="3"/>
          <c:tx>
            <c:v> F4 2.6mmAl</c:v>
          </c:tx>
          <c:marker>
            <c:symbol val="none"/>
          </c:marker>
          <c:xVal>
            <c:numRef>
              <c:f>PDD!$B$102:$B$112</c:f>
              <c:numCache>
                <c:formatCode>0.0</c:formatCode>
                <c:ptCount val="11"/>
                <c:pt idx="0">
                  <c:v>0</c:v>
                </c:pt>
                <c:pt idx="1">
                  <c:v>2.38</c:v>
                </c:pt>
                <c:pt idx="2">
                  <c:v>3</c:v>
                </c:pt>
                <c:pt idx="3">
                  <c:v>3.7</c:v>
                </c:pt>
                <c:pt idx="4">
                  <c:v>4.5999999999999996</c:v>
                </c:pt>
                <c:pt idx="5">
                  <c:v>5.4</c:v>
                </c:pt>
                <c:pt idx="6">
                  <c:v>6.6</c:v>
                </c:pt>
                <c:pt idx="7">
                  <c:v>10</c:v>
                </c:pt>
                <c:pt idx="8">
                  <c:v>15</c:v>
                </c:pt>
                <c:pt idx="9">
                  <c:v>25</c:v>
                </c:pt>
                <c:pt idx="10">
                  <c:v>35</c:v>
                </c:pt>
              </c:numCache>
            </c:numRef>
          </c:xVal>
          <c:yVal>
            <c:numRef>
              <c:f>PDD!$E$102:$E$112</c:f>
              <c:numCache>
                <c:formatCode>0</c:formatCode>
                <c:ptCount val="11"/>
                <c:pt idx="0">
                  <c:v>100</c:v>
                </c:pt>
                <c:pt idx="1">
                  <c:v>92.390188000000009</c:v>
                </c:pt>
                <c:pt idx="2">
                  <c:v>90.407800000000009</c:v>
                </c:pt>
                <c:pt idx="3">
                  <c:v>88.169620000000009</c:v>
                </c:pt>
                <c:pt idx="4">
                  <c:v>85.291960000000003</c:v>
                </c:pt>
                <c:pt idx="5">
                  <c:v>82.935159999999996</c:v>
                </c:pt>
                <c:pt idx="6">
                  <c:v>79.701639999999998</c:v>
                </c:pt>
                <c:pt idx="7">
                  <c:v>70.539999999999992</c:v>
                </c:pt>
                <c:pt idx="8">
                  <c:v>59.905999999999992</c:v>
                </c:pt>
                <c:pt idx="9">
                  <c:v>41.849999999999994</c:v>
                </c:pt>
                <c:pt idx="10">
                  <c:v>29.325499999999998</c:v>
                </c:pt>
              </c:numCache>
            </c:numRef>
          </c:yVal>
          <c:smooth val="1"/>
        </c:ser>
        <c:ser>
          <c:idx val="4"/>
          <c:order val="4"/>
          <c:tx>
            <c:v> F5 4.0mmAl</c:v>
          </c:tx>
          <c:spPr>
            <a:ln>
              <a:solidFill>
                <a:schemeClr val="bg2">
                  <a:lumMod val="25000"/>
                </a:schemeClr>
              </a:solidFill>
            </a:ln>
          </c:spPr>
          <c:marker>
            <c:symbol val="none"/>
          </c:marker>
          <c:xVal>
            <c:numRef>
              <c:f>PDD!$B$137:$B$147</c:f>
              <c:numCache>
                <c:formatCode>0.0</c:formatCode>
                <c:ptCount val="11"/>
                <c:pt idx="0">
                  <c:v>0</c:v>
                </c:pt>
                <c:pt idx="1">
                  <c:v>2.8</c:v>
                </c:pt>
                <c:pt idx="2">
                  <c:v>3.4</c:v>
                </c:pt>
                <c:pt idx="3">
                  <c:v>4</c:v>
                </c:pt>
                <c:pt idx="4">
                  <c:v>5.7</c:v>
                </c:pt>
                <c:pt idx="5">
                  <c:v>7</c:v>
                </c:pt>
                <c:pt idx="6">
                  <c:v>8</c:v>
                </c:pt>
                <c:pt idx="7">
                  <c:v>10</c:v>
                </c:pt>
                <c:pt idx="8">
                  <c:v>20</c:v>
                </c:pt>
                <c:pt idx="9">
                  <c:v>30</c:v>
                </c:pt>
                <c:pt idx="10">
                  <c:v>40</c:v>
                </c:pt>
              </c:numCache>
            </c:numRef>
          </c:xVal>
          <c:yVal>
            <c:numRef>
              <c:f>PDD!$E$137:$E$147</c:f>
              <c:numCache>
                <c:formatCode>0</c:formatCode>
                <c:ptCount val="11"/>
                <c:pt idx="0">
                  <c:v>100</c:v>
                </c:pt>
                <c:pt idx="1">
                  <c:v>92.664000000000001</c:v>
                </c:pt>
                <c:pt idx="2">
                  <c:v>91.091999999999999</c:v>
                </c:pt>
                <c:pt idx="3">
                  <c:v>89.52000000000001</c:v>
                </c:pt>
                <c:pt idx="4">
                  <c:v>85.22</c:v>
                </c:pt>
                <c:pt idx="5">
                  <c:v>82.100000000000009</c:v>
                </c:pt>
                <c:pt idx="6">
                  <c:v>79.7</c:v>
                </c:pt>
                <c:pt idx="7">
                  <c:v>74.900000000000006</c:v>
                </c:pt>
                <c:pt idx="8">
                  <c:v>54.4</c:v>
                </c:pt>
                <c:pt idx="9">
                  <c:v>39.299999999999997</c:v>
                </c:pt>
                <c:pt idx="10">
                  <c:v>28.7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200320"/>
        <c:axId val="150202240"/>
      </c:scatterChart>
      <c:valAx>
        <c:axId val="150200320"/>
        <c:scaling>
          <c:orientation val="minMax"/>
          <c:max val="14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depth [mm]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50202240"/>
        <c:crosses val="autoZero"/>
        <c:crossBetween val="midCat"/>
        <c:majorUnit val="2"/>
        <c:minorUnit val="1"/>
      </c:valAx>
      <c:valAx>
        <c:axId val="150202240"/>
        <c:scaling>
          <c:orientation val="minMax"/>
          <c:max val="101"/>
          <c:min val="60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PDD (diam=1cm)</a:t>
                </a:r>
              </a:p>
            </c:rich>
          </c:tx>
          <c:layout>
            <c:manualLayout>
              <c:xMode val="edge"/>
              <c:yMode val="edge"/>
              <c:x val="1.7718435403308863E-2"/>
              <c:y val="0.3866180870878187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150200320"/>
        <c:crosses val="autoZero"/>
        <c:crossBetween val="midCat"/>
        <c:majorUnit val="5"/>
        <c:minorUnit val="1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61865113738517497"/>
          <c:y val="6.3004852465133931E-2"/>
          <c:w val="0.32446472052055991"/>
          <c:h val="0.16998648529772273"/>
        </c:manualLayout>
      </c:layout>
      <c:overlay val="0"/>
      <c:spPr>
        <a:solidFill>
          <a:srgbClr val="FFFFFF"/>
        </a:solidFill>
        <a:ln>
          <a:noFill/>
        </a:ln>
      </c:spPr>
      <c:txPr>
        <a:bodyPr/>
        <a:lstStyle/>
        <a:p>
          <a:pPr>
            <a:defRPr sz="1400" b="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>
      <a:noFill/>
    </a:ln>
  </c:spPr>
  <c:printSettings>
    <c:headerFooter/>
    <c:pageMargins b="0.75" l="0.7" r="0.7" t="0.75" header="0.3" footer="0.3"/>
    <c:pageSetup orientation="portrait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888788674370288"/>
          <c:y val="8.8902327819371976E-2"/>
          <c:w val="0.76930313949265661"/>
          <c:h val="0.81474235744980539"/>
        </c:manualLayout>
      </c:layout>
      <c:scatterChart>
        <c:scatterStyle val="smoothMarker"/>
        <c:varyColors val="0"/>
        <c:ser>
          <c:idx val="0"/>
          <c:order val="0"/>
          <c:tx>
            <c:v> F1 0.2mmAl</c:v>
          </c:tx>
          <c:spPr>
            <a:ln w="31750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PDD!$B$8:$B$15</c:f>
              <c:numCache>
                <c:formatCode>0.00</c:formatCode>
                <c:ptCount val="8"/>
                <c:pt idx="0" formatCode="0.0">
                  <c:v>0</c:v>
                </c:pt>
                <c:pt idx="1">
                  <c:v>0.4</c:v>
                </c:pt>
                <c:pt idx="2">
                  <c:v>0.8</c:v>
                </c:pt>
                <c:pt idx="3" formatCode="0.0">
                  <c:v>1</c:v>
                </c:pt>
                <c:pt idx="4" formatCode="0.0">
                  <c:v>1.5</c:v>
                </c:pt>
                <c:pt idx="5" formatCode="0.0">
                  <c:v>2</c:v>
                </c:pt>
                <c:pt idx="6" formatCode="0.0">
                  <c:v>5</c:v>
                </c:pt>
                <c:pt idx="7" formatCode="0.0">
                  <c:v>10</c:v>
                </c:pt>
              </c:numCache>
            </c:numRef>
          </c:xVal>
          <c:yVal>
            <c:numRef>
              <c:f>PDD!$E$8:$E$15</c:f>
              <c:numCache>
                <c:formatCode>0</c:formatCode>
                <c:ptCount val="8"/>
                <c:pt idx="0">
                  <c:v>100</c:v>
                </c:pt>
                <c:pt idx="1">
                  <c:v>90.248837846052453</c:v>
                </c:pt>
                <c:pt idx="2">
                  <c:v>80.497675692104906</c:v>
                </c:pt>
                <c:pt idx="3">
                  <c:v>75.622094615131132</c:v>
                </c:pt>
                <c:pt idx="4">
                  <c:v>68.406519325658067</c:v>
                </c:pt>
                <c:pt idx="5">
                  <c:v>61.190944036184987</c:v>
                </c:pt>
                <c:pt idx="6">
                  <c:v>37.760229047216527</c:v>
                </c:pt>
                <c:pt idx="7">
                  <c:v>19.880977326689862</c:v>
                </c:pt>
              </c:numCache>
            </c:numRef>
          </c:yVal>
          <c:smooth val="1"/>
        </c:ser>
        <c:ser>
          <c:idx val="1"/>
          <c:order val="1"/>
          <c:tx>
            <c:v> F2 0.8mmAl</c:v>
          </c:tx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PDD!$B$37:$B$45</c:f>
              <c:numCache>
                <c:formatCode>0.0</c:formatCode>
                <c:ptCount val="9"/>
                <c:pt idx="0">
                  <c:v>0</c:v>
                </c:pt>
                <c:pt idx="1">
                  <c:v>1.49</c:v>
                </c:pt>
                <c:pt idx="2">
                  <c:v>1.7</c:v>
                </c:pt>
                <c:pt idx="3">
                  <c:v>2.9</c:v>
                </c:pt>
                <c:pt idx="4">
                  <c:v>3.2</c:v>
                </c:pt>
                <c:pt idx="5">
                  <c:v>6</c:v>
                </c:pt>
                <c:pt idx="6">
                  <c:v>8</c:v>
                </c:pt>
                <c:pt idx="7">
                  <c:v>12</c:v>
                </c:pt>
                <c:pt idx="8">
                  <c:v>20</c:v>
                </c:pt>
              </c:numCache>
            </c:numRef>
          </c:xVal>
          <c:yVal>
            <c:numRef>
              <c:f>PDD!$F$37:$F$45</c:f>
              <c:numCache>
                <c:formatCode>0</c:formatCode>
                <c:ptCount val="9"/>
                <c:pt idx="0">
                  <c:v>100</c:v>
                </c:pt>
                <c:pt idx="1">
                  <c:v>90.894361666666668</c:v>
                </c:pt>
                <c:pt idx="2">
                  <c:v>89.611016666666671</c:v>
                </c:pt>
                <c:pt idx="3">
                  <c:v>82.277616666666674</c:v>
                </c:pt>
                <c:pt idx="4">
                  <c:v>80.444266666666664</c:v>
                </c:pt>
                <c:pt idx="5">
                  <c:v>67.175000000000011</c:v>
                </c:pt>
                <c:pt idx="6">
                  <c:v>58.794666666666664</c:v>
                </c:pt>
                <c:pt idx="7">
                  <c:v>48.644333333333336</c:v>
                </c:pt>
                <c:pt idx="8">
                  <c:v>32.614000000000004</c:v>
                </c:pt>
              </c:numCache>
            </c:numRef>
          </c:yVal>
          <c:smooth val="1"/>
        </c:ser>
        <c:ser>
          <c:idx val="2"/>
          <c:order val="2"/>
          <c:tx>
            <c:v> F3 2.0mmAl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PDD!$B$68:$B$77</c:f>
              <c:numCache>
                <c:formatCode>0.0</c:formatCode>
                <c:ptCount val="10"/>
                <c:pt idx="0">
                  <c:v>0</c:v>
                </c:pt>
                <c:pt idx="1">
                  <c:v>2.1</c:v>
                </c:pt>
                <c:pt idx="2">
                  <c:v>2.7</c:v>
                </c:pt>
                <c:pt idx="3">
                  <c:v>4.2</c:v>
                </c:pt>
                <c:pt idx="4">
                  <c:v>4.5999999999999996</c:v>
                </c:pt>
                <c:pt idx="5">
                  <c:v>5.6</c:v>
                </c:pt>
                <c:pt idx="6">
                  <c:v>7</c:v>
                </c:pt>
                <c:pt idx="7">
                  <c:v>10</c:v>
                </c:pt>
                <c:pt idx="8">
                  <c:v>15</c:v>
                </c:pt>
                <c:pt idx="9">
                  <c:v>20</c:v>
                </c:pt>
              </c:numCache>
            </c:numRef>
          </c:xVal>
          <c:yVal>
            <c:numRef>
              <c:f>PDD!$F$68:$F$77</c:f>
              <c:numCache>
                <c:formatCode>0</c:formatCode>
                <c:ptCount val="10"/>
                <c:pt idx="0">
                  <c:v>100</c:v>
                </c:pt>
                <c:pt idx="1">
                  <c:v>93.111999999999995</c:v>
                </c:pt>
                <c:pt idx="2">
                  <c:v>91.143999999999991</c:v>
                </c:pt>
                <c:pt idx="3">
                  <c:v>86.22399999999999</c:v>
                </c:pt>
                <c:pt idx="4">
                  <c:v>84.911999999999992</c:v>
                </c:pt>
                <c:pt idx="5">
                  <c:v>82.027999999999992</c:v>
                </c:pt>
                <c:pt idx="6">
                  <c:v>78.36</c:v>
                </c:pt>
                <c:pt idx="7">
                  <c:v>70.5</c:v>
                </c:pt>
                <c:pt idx="8">
                  <c:v>59.7</c:v>
                </c:pt>
                <c:pt idx="9">
                  <c:v>48.9</c:v>
                </c:pt>
              </c:numCache>
            </c:numRef>
          </c:yVal>
          <c:smooth val="1"/>
        </c:ser>
        <c:ser>
          <c:idx val="3"/>
          <c:order val="3"/>
          <c:tx>
            <c:v> F4 2.6mmAl</c:v>
          </c:tx>
          <c:marker>
            <c:symbol val="none"/>
          </c:marker>
          <c:xVal>
            <c:numRef>
              <c:f>PDD!$B$102:$B$112</c:f>
              <c:numCache>
                <c:formatCode>0.0</c:formatCode>
                <c:ptCount val="11"/>
                <c:pt idx="0">
                  <c:v>0</c:v>
                </c:pt>
                <c:pt idx="1">
                  <c:v>2.38</c:v>
                </c:pt>
                <c:pt idx="2">
                  <c:v>3</c:v>
                </c:pt>
                <c:pt idx="3">
                  <c:v>3.7</c:v>
                </c:pt>
                <c:pt idx="4">
                  <c:v>4.5999999999999996</c:v>
                </c:pt>
                <c:pt idx="5">
                  <c:v>5.4</c:v>
                </c:pt>
                <c:pt idx="6">
                  <c:v>6.6</c:v>
                </c:pt>
                <c:pt idx="7">
                  <c:v>10</c:v>
                </c:pt>
                <c:pt idx="8">
                  <c:v>15</c:v>
                </c:pt>
                <c:pt idx="9">
                  <c:v>25</c:v>
                </c:pt>
                <c:pt idx="10">
                  <c:v>35</c:v>
                </c:pt>
              </c:numCache>
            </c:numRef>
          </c:xVal>
          <c:yVal>
            <c:numRef>
              <c:f>PDD!$F$102:$F$112</c:f>
              <c:numCache>
                <c:formatCode>0</c:formatCode>
                <c:ptCount val="11"/>
                <c:pt idx="0">
                  <c:v>100</c:v>
                </c:pt>
                <c:pt idx="1">
                  <c:v>93.151787999999996</c:v>
                </c:pt>
                <c:pt idx="2">
                  <c:v>91.367800000000003</c:v>
                </c:pt>
                <c:pt idx="3">
                  <c:v>89.353620000000006</c:v>
                </c:pt>
                <c:pt idx="4">
                  <c:v>86.763959999999997</c:v>
                </c:pt>
                <c:pt idx="5">
                  <c:v>84.599159999999998</c:v>
                </c:pt>
                <c:pt idx="6">
                  <c:v>81.557640000000006</c:v>
                </c:pt>
                <c:pt idx="7">
                  <c:v>72.94</c:v>
                </c:pt>
                <c:pt idx="8">
                  <c:v>62.506</c:v>
                </c:pt>
                <c:pt idx="9">
                  <c:v>44.522000000000006</c:v>
                </c:pt>
                <c:pt idx="10">
                  <c:v>31.539000000000001</c:v>
                </c:pt>
              </c:numCache>
            </c:numRef>
          </c:yVal>
          <c:smooth val="1"/>
        </c:ser>
        <c:ser>
          <c:idx val="4"/>
          <c:order val="4"/>
          <c:tx>
            <c:v> F5 4.0mmAl</c:v>
          </c:tx>
          <c:spPr>
            <a:ln>
              <a:solidFill>
                <a:schemeClr val="bg2">
                  <a:lumMod val="25000"/>
                </a:schemeClr>
              </a:solidFill>
            </a:ln>
          </c:spPr>
          <c:marker>
            <c:symbol val="none"/>
          </c:marker>
          <c:xVal>
            <c:numRef>
              <c:f>PDD!$B$137:$B$147</c:f>
              <c:numCache>
                <c:formatCode>0.0</c:formatCode>
                <c:ptCount val="11"/>
                <c:pt idx="0">
                  <c:v>0</c:v>
                </c:pt>
                <c:pt idx="1">
                  <c:v>2.8</c:v>
                </c:pt>
                <c:pt idx="2">
                  <c:v>3.4</c:v>
                </c:pt>
                <c:pt idx="3">
                  <c:v>4</c:v>
                </c:pt>
                <c:pt idx="4">
                  <c:v>5.7</c:v>
                </c:pt>
                <c:pt idx="5">
                  <c:v>7</c:v>
                </c:pt>
                <c:pt idx="6">
                  <c:v>8</c:v>
                </c:pt>
                <c:pt idx="7">
                  <c:v>10</c:v>
                </c:pt>
                <c:pt idx="8">
                  <c:v>20</c:v>
                </c:pt>
                <c:pt idx="9">
                  <c:v>30</c:v>
                </c:pt>
                <c:pt idx="10">
                  <c:v>40</c:v>
                </c:pt>
              </c:numCache>
            </c:numRef>
          </c:xVal>
          <c:yVal>
            <c:numRef>
              <c:f>PDD!$F$137:$F$147</c:f>
              <c:numCache>
                <c:formatCode>0</c:formatCode>
                <c:ptCount val="11"/>
                <c:pt idx="0">
                  <c:v>100</c:v>
                </c:pt>
                <c:pt idx="1">
                  <c:v>93.447999999999993</c:v>
                </c:pt>
                <c:pt idx="2">
                  <c:v>92.043999999999997</c:v>
                </c:pt>
                <c:pt idx="3">
                  <c:v>90.64</c:v>
                </c:pt>
                <c:pt idx="4">
                  <c:v>86.731999999999999</c:v>
                </c:pt>
                <c:pt idx="5">
                  <c:v>83.82</c:v>
                </c:pt>
                <c:pt idx="6">
                  <c:v>81.58</c:v>
                </c:pt>
                <c:pt idx="7">
                  <c:v>77.099999999999994</c:v>
                </c:pt>
                <c:pt idx="8">
                  <c:v>57.3</c:v>
                </c:pt>
                <c:pt idx="9">
                  <c:v>42</c:v>
                </c:pt>
                <c:pt idx="10">
                  <c:v>30.9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43680"/>
        <c:axId val="150345600"/>
      </c:scatterChart>
      <c:valAx>
        <c:axId val="150343680"/>
        <c:scaling>
          <c:orientation val="minMax"/>
          <c:max val="14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depth [mm]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50345600"/>
        <c:crosses val="autoZero"/>
        <c:crossBetween val="midCat"/>
        <c:majorUnit val="2"/>
        <c:minorUnit val="1"/>
      </c:valAx>
      <c:valAx>
        <c:axId val="150345600"/>
        <c:scaling>
          <c:orientation val="minMax"/>
          <c:max val="101"/>
          <c:min val="60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PDD (diam=1cm)</a:t>
                </a:r>
              </a:p>
            </c:rich>
          </c:tx>
          <c:layout>
            <c:manualLayout>
              <c:xMode val="edge"/>
              <c:yMode val="edge"/>
              <c:x val="1.7718435403308863E-2"/>
              <c:y val="0.3866180870878187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150343680"/>
        <c:crosses val="autoZero"/>
        <c:crossBetween val="midCat"/>
        <c:majorUnit val="5"/>
        <c:minorUnit val="1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61865113738517497"/>
          <c:y val="6.3004852465133931E-2"/>
          <c:w val="0.32446472052055991"/>
          <c:h val="0.16998648529772273"/>
        </c:manualLayout>
      </c:layout>
      <c:overlay val="0"/>
      <c:spPr>
        <a:solidFill>
          <a:srgbClr val="FFFFFF"/>
        </a:solidFill>
        <a:ln>
          <a:noFill/>
        </a:ln>
      </c:spPr>
      <c:txPr>
        <a:bodyPr/>
        <a:lstStyle/>
        <a:p>
          <a:pPr>
            <a:defRPr sz="1400" b="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>
      <a:noFill/>
    </a:ln>
  </c:spPr>
  <c:printSettings>
    <c:headerFooter/>
    <c:pageMargins b="0.75" l="0.7" r="0.7" t="0.75" header="0.3" footer="0.3"/>
    <c:pageSetup orientation="portrait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888788674370288"/>
          <c:y val="8.8902327819371976E-2"/>
          <c:w val="0.76930313949265661"/>
          <c:h val="0.81474235744980539"/>
        </c:manualLayout>
      </c:layout>
      <c:scatterChart>
        <c:scatterStyle val="smoothMarker"/>
        <c:varyColors val="0"/>
        <c:ser>
          <c:idx val="0"/>
          <c:order val="0"/>
          <c:tx>
            <c:v> F1 0.2mmAl</c:v>
          </c:tx>
          <c:spPr>
            <a:ln w="31750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PDD!$B$8:$B$15</c:f>
              <c:numCache>
                <c:formatCode>0.00</c:formatCode>
                <c:ptCount val="8"/>
                <c:pt idx="0" formatCode="0.0">
                  <c:v>0</c:v>
                </c:pt>
                <c:pt idx="1">
                  <c:v>0.4</c:v>
                </c:pt>
                <c:pt idx="2">
                  <c:v>0.8</c:v>
                </c:pt>
                <c:pt idx="3" formatCode="0.0">
                  <c:v>1</c:v>
                </c:pt>
                <c:pt idx="4" formatCode="0.0">
                  <c:v>1.5</c:v>
                </c:pt>
                <c:pt idx="5" formatCode="0.0">
                  <c:v>2</c:v>
                </c:pt>
                <c:pt idx="6" formatCode="0.0">
                  <c:v>5</c:v>
                </c:pt>
                <c:pt idx="7" formatCode="0.0">
                  <c:v>10</c:v>
                </c:pt>
              </c:numCache>
            </c:numRef>
          </c:xVal>
          <c:yVal>
            <c:numRef>
              <c:f>PDD!$E$8:$E$15</c:f>
              <c:numCache>
                <c:formatCode>0</c:formatCode>
                <c:ptCount val="8"/>
                <c:pt idx="0">
                  <c:v>100</c:v>
                </c:pt>
                <c:pt idx="1">
                  <c:v>90.248837846052453</c:v>
                </c:pt>
                <c:pt idx="2">
                  <c:v>80.497675692104906</c:v>
                </c:pt>
                <c:pt idx="3">
                  <c:v>75.622094615131132</c:v>
                </c:pt>
                <c:pt idx="4">
                  <c:v>68.406519325658067</c:v>
                </c:pt>
                <c:pt idx="5">
                  <c:v>61.190944036184987</c:v>
                </c:pt>
                <c:pt idx="6">
                  <c:v>37.760229047216527</c:v>
                </c:pt>
                <c:pt idx="7">
                  <c:v>19.880977326689862</c:v>
                </c:pt>
              </c:numCache>
            </c:numRef>
          </c:yVal>
          <c:smooth val="1"/>
        </c:ser>
        <c:ser>
          <c:idx val="1"/>
          <c:order val="1"/>
          <c:tx>
            <c:v> F2 0.8mmAl</c:v>
          </c:tx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PDD!$B$37:$B$45</c:f>
              <c:numCache>
                <c:formatCode>0.0</c:formatCode>
                <c:ptCount val="9"/>
                <c:pt idx="0">
                  <c:v>0</c:v>
                </c:pt>
                <c:pt idx="1">
                  <c:v>1.49</c:v>
                </c:pt>
                <c:pt idx="2">
                  <c:v>1.7</c:v>
                </c:pt>
                <c:pt idx="3">
                  <c:v>2.9</c:v>
                </c:pt>
                <c:pt idx="4">
                  <c:v>3.2</c:v>
                </c:pt>
                <c:pt idx="5">
                  <c:v>6</c:v>
                </c:pt>
                <c:pt idx="6">
                  <c:v>8</c:v>
                </c:pt>
                <c:pt idx="7">
                  <c:v>12</c:v>
                </c:pt>
                <c:pt idx="8">
                  <c:v>20</c:v>
                </c:pt>
              </c:numCache>
            </c:numRef>
          </c:xVal>
          <c:yVal>
            <c:numRef>
              <c:f>PDD!$H$37:$H$45</c:f>
              <c:numCache>
                <c:formatCode>0</c:formatCode>
                <c:ptCount val="9"/>
                <c:pt idx="0">
                  <c:v>100</c:v>
                </c:pt>
                <c:pt idx="1">
                  <c:v>91.352421354339853</c:v>
                </c:pt>
                <c:pt idx="2">
                  <c:v>90.133635102266936</c:v>
                </c:pt>
                <c:pt idx="3">
                  <c:v>83.169142233278905</c:v>
                </c:pt>
                <c:pt idx="4">
                  <c:v>81.428019016031882</c:v>
                </c:pt>
                <c:pt idx="5">
                  <c:v>68.553493928628342</c:v>
                </c:pt>
                <c:pt idx="6">
                  <c:v>60.321964087216813</c:v>
                </c:pt>
                <c:pt idx="7">
                  <c:v>50.03376568874576</c:v>
                </c:pt>
                <c:pt idx="8">
                  <c:v>33.800346475702156</c:v>
                </c:pt>
              </c:numCache>
            </c:numRef>
          </c:yVal>
          <c:smooth val="1"/>
        </c:ser>
        <c:ser>
          <c:idx val="2"/>
          <c:order val="2"/>
          <c:tx>
            <c:v> F3 2.0mmAl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PDD!$B$68:$B$77</c:f>
              <c:numCache>
                <c:formatCode>0.0</c:formatCode>
                <c:ptCount val="10"/>
                <c:pt idx="0">
                  <c:v>0</c:v>
                </c:pt>
                <c:pt idx="1">
                  <c:v>2.1</c:v>
                </c:pt>
                <c:pt idx="2">
                  <c:v>2.7</c:v>
                </c:pt>
                <c:pt idx="3">
                  <c:v>4.2</c:v>
                </c:pt>
                <c:pt idx="4">
                  <c:v>4.5999999999999996</c:v>
                </c:pt>
                <c:pt idx="5">
                  <c:v>5.6</c:v>
                </c:pt>
                <c:pt idx="6">
                  <c:v>7</c:v>
                </c:pt>
                <c:pt idx="7">
                  <c:v>10</c:v>
                </c:pt>
                <c:pt idx="8">
                  <c:v>15</c:v>
                </c:pt>
                <c:pt idx="9">
                  <c:v>20</c:v>
                </c:pt>
              </c:numCache>
            </c:numRef>
          </c:xVal>
          <c:yVal>
            <c:numRef>
              <c:f>PDD!$F$68:$F$77</c:f>
              <c:numCache>
                <c:formatCode>0</c:formatCode>
                <c:ptCount val="10"/>
                <c:pt idx="0">
                  <c:v>100</c:v>
                </c:pt>
                <c:pt idx="1">
                  <c:v>93.111999999999995</c:v>
                </c:pt>
                <c:pt idx="2">
                  <c:v>91.143999999999991</c:v>
                </c:pt>
                <c:pt idx="3">
                  <c:v>86.22399999999999</c:v>
                </c:pt>
                <c:pt idx="4">
                  <c:v>84.911999999999992</c:v>
                </c:pt>
                <c:pt idx="5">
                  <c:v>82.027999999999992</c:v>
                </c:pt>
                <c:pt idx="6">
                  <c:v>78.36</c:v>
                </c:pt>
                <c:pt idx="7">
                  <c:v>70.5</c:v>
                </c:pt>
                <c:pt idx="8">
                  <c:v>59.7</c:v>
                </c:pt>
                <c:pt idx="9">
                  <c:v>48.9</c:v>
                </c:pt>
              </c:numCache>
            </c:numRef>
          </c:yVal>
          <c:smooth val="1"/>
        </c:ser>
        <c:ser>
          <c:idx val="3"/>
          <c:order val="3"/>
          <c:tx>
            <c:v> F4 2.6mmAl</c:v>
          </c:tx>
          <c:marker>
            <c:symbol val="none"/>
          </c:marker>
          <c:xVal>
            <c:numRef>
              <c:f>PDD!$B$102:$B$112</c:f>
              <c:numCache>
                <c:formatCode>0.0</c:formatCode>
                <c:ptCount val="11"/>
                <c:pt idx="0">
                  <c:v>0</c:v>
                </c:pt>
                <c:pt idx="1">
                  <c:v>2.38</c:v>
                </c:pt>
                <c:pt idx="2">
                  <c:v>3</c:v>
                </c:pt>
                <c:pt idx="3">
                  <c:v>3.7</c:v>
                </c:pt>
                <c:pt idx="4">
                  <c:v>4.5999999999999996</c:v>
                </c:pt>
                <c:pt idx="5">
                  <c:v>5.4</c:v>
                </c:pt>
                <c:pt idx="6">
                  <c:v>6.6</c:v>
                </c:pt>
                <c:pt idx="7">
                  <c:v>10</c:v>
                </c:pt>
                <c:pt idx="8">
                  <c:v>15</c:v>
                </c:pt>
                <c:pt idx="9">
                  <c:v>25</c:v>
                </c:pt>
                <c:pt idx="10">
                  <c:v>35</c:v>
                </c:pt>
              </c:numCache>
            </c:numRef>
          </c:xVal>
          <c:yVal>
            <c:numRef>
              <c:f>PDD!$F$102:$F$112</c:f>
              <c:numCache>
                <c:formatCode>0</c:formatCode>
                <c:ptCount val="11"/>
                <c:pt idx="0">
                  <c:v>100</c:v>
                </c:pt>
                <c:pt idx="1">
                  <c:v>93.151787999999996</c:v>
                </c:pt>
                <c:pt idx="2">
                  <c:v>91.367800000000003</c:v>
                </c:pt>
                <c:pt idx="3">
                  <c:v>89.353620000000006</c:v>
                </c:pt>
                <c:pt idx="4">
                  <c:v>86.763959999999997</c:v>
                </c:pt>
                <c:pt idx="5">
                  <c:v>84.599159999999998</c:v>
                </c:pt>
                <c:pt idx="6">
                  <c:v>81.557640000000006</c:v>
                </c:pt>
                <c:pt idx="7">
                  <c:v>72.94</c:v>
                </c:pt>
                <c:pt idx="8">
                  <c:v>62.506</c:v>
                </c:pt>
                <c:pt idx="9">
                  <c:v>44.522000000000006</c:v>
                </c:pt>
                <c:pt idx="10">
                  <c:v>31.539000000000001</c:v>
                </c:pt>
              </c:numCache>
            </c:numRef>
          </c:yVal>
          <c:smooth val="1"/>
        </c:ser>
        <c:ser>
          <c:idx val="4"/>
          <c:order val="4"/>
          <c:tx>
            <c:v> F5 4.0mmAl</c:v>
          </c:tx>
          <c:spPr>
            <a:ln>
              <a:solidFill>
                <a:schemeClr val="bg2">
                  <a:lumMod val="25000"/>
                </a:schemeClr>
              </a:solidFill>
            </a:ln>
          </c:spPr>
          <c:marker>
            <c:symbol val="none"/>
          </c:marker>
          <c:xVal>
            <c:numRef>
              <c:f>PDD!$B$137:$B$147</c:f>
              <c:numCache>
                <c:formatCode>0.0</c:formatCode>
                <c:ptCount val="11"/>
                <c:pt idx="0">
                  <c:v>0</c:v>
                </c:pt>
                <c:pt idx="1">
                  <c:v>2.8</c:v>
                </c:pt>
                <c:pt idx="2">
                  <c:v>3.4</c:v>
                </c:pt>
                <c:pt idx="3">
                  <c:v>4</c:v>
                </c:pt>
                <c:pt idx="4">
                  <c:v>5.7</c:v>
                </c:pt>
                <c:pt idx="5">
                  <c:v>7</c:v>
                </c:pt>
                <c:pt idx="6">
                  <c:v>8</c:v>
                </c:pt>
                <c:pt idx="7">
                  <c:v>10</c:v>
                </c:pt>
                <c:pt idx="8">
                  <c:v>20</c:v>
                </c:pt>
                <c:pt idx="9">
                  <c:v>30</c:v>
                </c:pt>
                <c:pt idx="10">
                  <c:v>40</c:v>
                </c:pt>
              </c:numCache>
            </c:numRef>
          </c:xVal>
          <c:yVal>
            <c:numRef>
              <c:f>PDD!$H$137:$H$147</c:f>
              <c:numCache>
                <c:formatCode>0</c:formatCode>
                <c:ptCount val="11"/>
                <c:pt idx="0">
                  <c:v>100</c:v>
                </c:pt>
                <c:pt idx="1">
                  <c:v>94.4</c:v>
                </c:pt>
                <c:pt idx="2">
                  <c:v>93.2</c:v>
                </c:pt>
                <c:pt idx="3">
                  <c:v>92</c:v>
                </c:pt>
                <c:pt idx="4">
                  <c:v>88.572000000000003</c:v>
                </c:pt>
                <c:pt idx="5">
                  <c:v>85.92</c:v>
                </c:pt>
                <c:pt idx="6">
                  <c:v>83.88</c:v>
                </c:pt>
                <c:pt idx="7">
                  <c:v>79.8</c:v>
                </c:pt>
                <c:pt idx="8">
                  <c:v>61.1</c:v>
                </c:pt>
                <c:pt idx="9">
                  <c:v>46</c:v>
                </c:pt>
                <c:pt idx="10">
                  <c:v>34.700000000000003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392832"/>
        <c:axId val="150394752"/>
      </c:scatterChart>
      <c:valAx>
        <c:axId val="150392832"/>
        <c:scaling>
          <c:orientation val="minMax"/>
          <c:max val="14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depth [mm]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50394752"/>
        <c:crosses val="autoZero"/>
        <c:crossBetween val="midCat"/>
        <c:majorUnit val="2"/>
        <c:minorUnit val="1"/>
      </c:valAx>
      <c:valAx>
        <c:axId val="150394752"/>
        <c:scaling>
          <c:orientation val="minMax"/>
          <c:max val="101"/>
          <c:min val="60"/>
        </c:scaling>
        <c:delete val="0"/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PDD (diam=1cm)</a:t>
                </a:r>
              </a:p>
            </c:rich>
          </c:tx>
          <c:layout>
            <c:manualLayout>
              <c:xMode val="edge"/>
              <c:yMode val="edge"/>
              <c:x val="1.7718435403308863E-2"/>
              <c:y val="0.3866180870878187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400" b="1"/>
            </a:pPr>
            <a:endParaRPr lang="en-US"/>
          </a:p>
        </c:txPr>
        <c:crossAx val="150392832"/>
        <c:crosses val="autoZero"/>
        <c:crossBetween val="midCat"/>
        <c:majorUnit val="5"/>
        <c:minorUnit val="1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0.61865113738517497"/>
          <c:y val="6.3004852465133931E-2"/>
          <c:w val="0.32446472052055991"/>
          <c:h val="0.16998648529772273"/>
        </c:manualLayout>
      </c:layout>
      <c:overlay val="0"/>
      <c:spPr>
        <a:solidFill>
          <a:srgbClr val="FFFFFF"/>
        </a:solidFill>
        <a:ln>
          <a:noFill/>
        </a:ln>
      </c:spPr>
      <c:txPr>
        <a:bodyPr/>
        <a:lstStyle/>
        <a:p>
          <a:pPr>
            <a:defRPr sz="1400" b="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>
      <a:noFill/>
    </a:ln>
  </c:spPr>
  <c:printSettings>
    <c:headerFooter/>
    <c:pageMargins b="0.75" l="0.7" r="0.7" t="0.75" header="0.3" footer="0.3"/>
    <c:pageSetup orientation="portrait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8</xdr:col>
      <xdr:colOff>597603</xdr:colOff>
      <xdr:row>47</xdr:row>
      <xdr:rowOff>171450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71525"/>
          <a:ext cx="5217228" cy="79533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73164</xdr:colOff>
      <xdr:row>0</xdr:row>
      <xdr:rowOff>66675</xdr:rowOff>
    </xdr:from>
    <xdr:to>
      <xdr:col>8</xdr:col>
      <xdr:colOff>552450</xdr:colOff>
      <xdr:row>43</xdr:row>
      <xdr:rowOff>152400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66675</xdr:colOff>
      <xdr:row>0</xdr:row>
      <xdr:rowOff>57150</xdr:rowOff>
    </xdr:from>
    <xdr:to>
      <xdr:col>17</xdr:col>
      <xdr:colOff>565011</xdr:colOff>
      <xdr:row>43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57150</xdr:colOff>
      <xdr:row>0</xdr:row>
      <xdr:rowOff>57150</xdr:rowOff>
    </xdr:from>
    <xdr:to>
      <xdr:col>26</xdr:col>
      <xdr:colOff>555486</xdr:colOff>
      <xdr:row>43</xdr:row>
      <xdr:rowOff>142875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38100</xdr:colOff>
      <xdr:row>0</xdr:row>
      <xdr:rowOff>66675</xdr:rowOff>
    </xdr:from>
    <xdr:to>
      <xdr:col>35</xdr:col>
      <xdr:colOff>536436</xdr:colOff>
      <xdr:row>43</xdr:row>
      <xdr:rowOff>152400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66675</xdr:colOff>
      <xdr:row>0</xdr:row>
      <xdr:rowOff>66675</xdr:rowOff>
    </xdr:from>
    <xdr:to>
      <xdr:col>44</xdr:col>
      <xdr:colOff>565011</xdr:colOff>
      <xdr:row>43</xdr:row>
      <xdr:rowOff>152400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0.47832</cdr:x>
      <cdr:y>0.50419</cdr:y>
    </cdr:from>
    <cdr:to>
      <cdr:x>0.58632</cdr:x>
      <cdr:y>0.50419</cdr:y>
    </cdr:to>
    <cdr:cxnSp macro="">
      <cdr:nvCxnSpPr>
        <cdr:cNvPr id="5" name="Straight Arrow Connector 4"/>
        <cdr:cNvCxnSpPr/>
      </cdr:nvCxnSpPr>
      <cdr:spPr>
        <a:xfrm xmlns:a="http://schemas.openxmlformats.org/drawingml/2006/main" flipH="1">
          <a:off x="2489041" y="3977623"/>
          <a:ext cx="561998" cy="0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7030A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0.54835</cdr:x>
      <cdr:y>0.46798</cdr:y>
    </cdr:from>
    <cdr:to>
      <cdr:x>0.91444</cdr:x>
      <cdr:y>0.52835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947456" y="3742806"/>
          <a:ext cx="1967766" cy="48280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200" b="1"/>
            <a:t>Prescribing to PDD=80%</a:t>
          </a:r>
        </a:p>
        <a:p xmlns:a="http://schemas.openxmlformats.org/drawingml/2006/main">
          <a:r>
            <a:rPr lang="en-CA" sz="1200" b="1"/>
            <a:t>Surface dose = 125% D</a:t>
          </a:r>
          <a:r>
            <a:rPr lang="en-CA" sz="1200" b="1" baseline="-25000"/>
            <a:t>prescr.</a:t>
          </a:r>
        </a:p>
      </cdr:txBody>
    </cdr:sp>
  </cdr:relSizeAnchor>
  <cdr:relSizeAnchor xmlns:cdr="http://schemas.openxmlformats.org/drawingml/2006/chartDrawing">
    <cdr:from>
      <cdr:x>0.40755</cdr:x>
      <cdr:y>0.40559</cdr:y>
    </cdr:from>
    <cdr:to>
      <cdr:x>0.51555</cdr:x>
      <cdr:y>0.40559</cdr:y>
    </cdr:to>
    <cdr:cxnSp macro="">
      <cdr:nvCxnSpPr>
        <cdr:cNvPr id="4" name="Straight Arrow Connector 3"/>
        <cdr:cNvCxnSpPr/>
      </cdr:nvCxnSpPr>
      <cdr:spPr>
        <a:xfrm xmlns:a="http://schemas.openxmlformats.org/drawingml/2006/main" flipH="1">
          <a:off x="2120741" y="3199748"/>
          <a:ext cx="561998" cy="0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7030A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0.48649</cdr:x>
      <cdr:y>0.36625</cdr:y>
    </cdr:from>
    <cdr:to>
      <cdr:x>0.85258</cdr:x>
      <cdr:y>0.42661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2614963" y="2929168"/>
          <a:ext cx="1967765" cy="48280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CA" sz="1200" b="1"/>
            <a:t>Prescribing to PDD=85%</a:t>
          </a:r>
        </a:p>
        <a:p xmlns:a="http://schemas.openxmlformats.org/drawingml/2006/main">
          <a:r>
            <a:rPr lang="en-CA" sz="1200" b="1"/>
            <a:t>Surface dose = 118% D</a:t>
          </a:r>
          <a:r>
            <a:rPr lang="en-CA" sz="1200" b="1" baseline="-25000"/>
            <a:t>prescr.</a:t>
          </a:r>
        </a:p>
      </cdr:txBody>
    </cdr:sp>
  </cdr:relSizeAnchor>
  <cdr:relSizeAnchor xmlns:cdr="http://schemas.openxmlformats.org/drawingml/2006/chartDrawing">
    <cdr:from>
      <cdr:x>0.34226</cdr:x>
      <cdr:y>0.30578</cdr:y>
    </cdr:from>
    <cdr:to>
      <cdr:x>0.45026</cdr:x>
      <cdr:y>0.30578</cdr:y>
    </cdr:to>
    <cdr:cxnSp macro="">
      <cdr:nvCxnSpPr>
        <cdr:cNvPr id="7" name="Straight Arrow Connector 6"/>
        <cdr:cNvCxnSpPr/>
      </cdr:nvCxnSpPr>
      <cdr:spPr>
        <a:xfrm xmlns:a="http://schemas.openxmlformats.org/drawingml/2006/main" flipH="1">
          <a:off x="1781016" y="2412348"/>
          <a:ext cx="561998" cy="0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7030A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0.42786</cdr:x>
      <cdr:y>0.2636</cdr:y>
    </cdr:from>
    <cdr:to>
      <cdr:x>0.79395</cdr:x>
      <cdr:y>0.32397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2299806" y="2108263"/>
          <a:ext cx="1967766" cy="48280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CA" sz="1200" b="1"/>
            <a:t>Prescribing to PDD=90%</a:t>
          </a:r>
        </a:p>
        <a:p xmlns:a="http://schemas.openxmlformats.org/drawingml/2006/main">
          <a:r>
            <a:rPr lang="en-CA" sz="1200" b="1"/>
            <a:t>Surface dose = 111% D</a:t>
          </a:r>
          <a:r>
            <a:rPr lang="en-CA" sz="1200" b="1" baseline="-25000"/>
            <a:t>prescr.</a:t>
          </a:r>
        </a:p>
      </cdr:txBody>
    </cdr:sp>
  </cdr:relSizeAnchor>
  <cdr:relSizeAnchor xmlns:cdr="http://schemas.openxmlformats.org/drawingml/2006/chartDrawing">
    <cdr:from>
      <cdr:x>0.00943</cdr:x>
      <cdr:y>0.00345</cdr:y>
    </cdr:from>
    <cdr:to>
      <cdr:x>0.87064</cdr:x>
      <cdr:y>0.03913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50661" y="28575"/>
          <a:ext cx="4629150" cy="295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000" b="1" baseline="0">
              <a:effectLst/>
            </a:rPr>
            <a:t>SSD=15cm -</a:t>
          </a:r>
          <a:r>
            <a:rPr lang="en-US" sz="2000" b="1">
              <a:effectLst/>
            </a:rPr>
            <a:t> Circ. field: diameter=1cm</a:t>
          </a:r>
          <a:endParaRPr lang="en-CA" sz="20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0.53857</cdr:x>
      <cdr:y>0.50419</cdr:y>
    </cdr:from>
    <cdr:to>
      <cdr:x>0.64657</cdr:x>
      <cdr:y>0.50419</cdr:y>
    </cdr:to>
    <cdr:cxnSp macro="">
      <cdr:nvCxnSpPr>
        <cdr:cNvPr id="5" name="Straight Arrow Connector 4"/>
        <cdr:cNvCxnSpPr/>
      </cdr:nvCxnSpPr>
      <cdr:spPr>
        <a:xfrm xmlns:a="http://schemas.openxmlformats.org/drawingml/2006/main" flipH="1">
          <a:off x="2894885" y="4173294"/>
          <a:ext cx="580515" cy="0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7030A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0.59265</cdr:x>
      <cdr:y>0.46798</cdr:y>
    </cdr:from>
    <cdr:to>
      <cdr:x>0.95874</cdr:x>
      <cdr:y>0.52835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185581" y="3873576"/>
          <a:ext cx="1967783" cy="499696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200" b="1"/>
            <a:t>Prescribing to PDD=80%</a:t>
          </a:r>
        </a:p>
        <a:p xmlns:a="http://schemas.openxmlformats.org/drawingml/2006/main">
          <a:r>
            <a:rPr lang="en-CA" sz="1200" b="1"/>
            <a:t>Surface dose = 125% D</a:t>
          </a:r>
          <a:r>
            <a:rPr lang="en-CA" sz="1200" b="1" baseline="-25000"/>
            <a:t>prescr.</a:t>
          </a:r>
        </a:p>
      </cdr:txBody>
    </cdr:sp>
  </cdr:relSizeAnchor>
  <cdr:relSizeAnchor xmlns:cdr="http://schemas.openxmlformats.org/drawingml/2006/chartDrawing">
    <cdr:from>
      <cdr:x>0.4359</cdr:x>
      <cdr:y>0.40559</cdr:y>
    </cdr:from>
    <cdr:to>
      <cdr:x>0.5439</cdr:x>
      <cdr:y>0.40559</cdr:y>
    </cdr:to>
    <cdr:cxnSp macro="">
      <cdr:nvCxnSpPr>
        <cdr:cNvPr id="4" name="Straight Arrow Connector 3"/>
        <cdr:cNvCxnSpPr/>
      </cdr:nvCxnSpPr>
      <cdr:spPr>
        <a:xfrm xmlns:a="http://schemas.openxmlformats.org/drawingml/2006/main" flipH="1">
          <a:off x="2343037" y="3357160"/>
          <a:ext cx="580514" cy="0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7030A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0.53079</cdr:x>
      <cdr:y>0.36625</cdr:y>
    </cdr:from>
    <cdr:to>
      <cdr:x>0.89688</cdr:x>
      <cdr:y>0.42661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2853075" y="3031534"/>
          <a:ext cx="1967783" cy="499613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CA" sz="1200" b="1"/>
            <a:t>Prescribing to PDD=85%</a:t>
          </a:r>
        </a:p>
        <a:p xmlns:a="http://schemas.openxmlformats.org/drawingml/2006/main">
          <a:r>
            <a:rPr lang="en-CA" sz="1200" b="1"/>
            <a:t>Surface dose = 118% D</a:t>
          </a:r>
          <a:r>
            <a:rPr lang="en-CA" sz="1200" b="1" baseline="-25000"/>
            <a:t>prescr.</a:t>
          </a:r>
        </a:p>
      </cdr:txBody>
    </cdr:sp>
  </cdr:relSizeAnchor>
  <cdr:relSizeAnchor xmlns:cdr="http://schemas.openxmlformats.org/drawingml/2006/chartDrawing">
    <cdr:from>
      <cdr:x>0.34226</cdr:x>
      <cdr:y>0.30578</cdr:y>
    </cdr:from>
    <cdr:to>
      <cdr:x>0.45026</cdr:x>
      <cdr:y>0.30578</cdr:y>
    </cdr:to>
    <cdr:cxnSp macro="">
      <cdr:nvCxnSpPr>
        <cdr:cNvPr id="7" name="Straight Arrow Connector 6"/>
        <cdr:cNvCxnSpPr/>
      </cdr:nvCxnSpPr>
      <cdr:spPr>
        <a:xfrm xmlns:a="http://schemas.openxmlformats.org/drawingml/2006/main" flipH="1">
          <a:off x="1781016" y="2412348"/>
          <a:ext cx="561998" cy="0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7030A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0.4633</cdr:x>
      <cdr:y>0.2636</cdr:y>
    </cdr:from>
    <cdr:to>
      <cdr:x>0.82939</cdr:x>
      <cdr:y>0.32397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2490306" y="2181877"/>
          <a:ext cx="1967783" cy="499696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CA" sz="1200" b="1"/>
            <a:t>Prescribing to PDD=90%</a:t>
          </a:r>
        </a:p>
        <a:p xmlns:a="http://schemas.openxmlformats.org/drawingml/2006/main">
          <a:r>
            <a:rPr lang="en-CA" sz="1200" b="1"/>
            <a:t>Surface dose = 111% D</a:t>
          </a:r>
          <a:r>
            <a:rPr lang="en-CA" sz="1200" b="1" baseline="-25000"/>
            <a:t>prescr.</a:t>
          </a:r>
        </a:p>
      </cdr:txBody>
    </cdr:sp>
  </cdr:relSizeAnchor>
  <cdr:relSizeAnchor xmlns:cdr="http://schemas.openxmlformats.org/drawingml/2006/chartDrawing">
    <cdr:from>
      <cdr:x>0.00943</cdr:x>
      <cdr:y>0.00345</cdr:y>
    </cdr:from>
    <cdr:to>
      <cdr:x>0.87064</cdr:x>
      <cdr:y>0.03913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50661" y="28575"/>
          <a:ext cx="4629150" cy="295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000" b="1" baseline="0">
              <a:effectLst/>
            </a:rPr>
            <a:t>SSD=15cm -</a:t>
          </a:r>
          <a:r>
            <a:rPr lang="en-US" sz="2000" b="1">
              <a:effectLst/>
            </a:rPr>
            <a:t> Circ. field: diameter=2cm</a:t>
          </a:r>
          <a:endParaRPr lang="en-CA" sz="2000" b="1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0.59528</cdr:x>
      <cdr:y>0.50304</cdr:y>
    </cdr:from>
    <cdr:to>
      <cdr:x>0.70328</cdr:x>
      <cdr:y>0.50304</cdr:y>
    </cdr:to>
    <cdr:cxnSp macro="">
      <cdr:nvCxnSpPr>
        <cdr:cNvPr id="5" name="Straight Arrow Connector 4"/>
        <cdr:cNvCxnSpPr/>
      </cdr:nvCxnSpPr>
      <cdr:spPr>
        <a:xfrm xmlns:a="http://schemas.openxmlformats.org/drawingml/2006/main" flipH="1">
          <a:off x="3199687" y="4163769"/>
          <a:ext cx="580515" cy="0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7030A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0.63391</cdr:x>
      <cdr:y>0.46798</cdr:y>
    </cdr:from>
    <cdr:to>
      <cdr:x>1</cdr:x>
      <cdr:y>0.52835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407352" y="3873576"/>
          <a:ext cx="1967784" cy="499696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200" b="1"/>
            <a:t>Prescribing to PDD=80%</a:t>
          </a:r>
        </a:p>
        <a:p xmlns:a="http://schemas.openxmlformats.org/drawingml/2006/main">
          <a:r>
            <a:rPr lang="en-CA" sz="1200" b="1"/>
            <a:t>Surface dose = 125% D</a:t>
          </a:r>
          <a:r>
            <a:rPr lang="en-CA" sz="1200" b="1" baseline="-25000"/>
            <a:t>prescr.</a:t>
          </a:r>
        </a:p>
      </cdr:txBody>
    </cdr:sp>
  </cdr:relSizeAnchor>
  <cdr:relSizeAnchor xmlns:cdr="http://schemas.openxmlformats.org/drawingml/2006/chartDrawing">
    <cdr:from>
      <cdr:x>0.48375</cdr:x>
      <cdr:y>0.40444</cdr:y>
    </cdr:from>
    <cdr:to>
      <cdr:x>0.59175</cdr:x>
      <cdr:y>0.40444</cdr:y>
    </cdr:to>
    <cdr:cxnSp macro="">
      <cdr:nvCxnSpPr>
        <cdr:cNvPr id="4" name="Straight Arrow Connector 3"/>
        <cdr:cNvCxnSpPr/>
      </cdr:nvCxnSpPr>
      <cdr:spPr>
        <a:xfrm xmlns:a="http://schemas.openxmlformats.org/drawingml/2006/main" flipH="1">
          <a:off x="2600197" y="3347635"/>
          <a:ext cx="580514" cy="0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7030A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0.56269</cdr:x>
      <cdr:y>0.36625</cdr:y>
    </cdr:from>
    <cdr:to>
      <cdr:x>0.92878</cdr:x>
      <cdr:y>0.42661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3024518" y="3031534"/>
          <a:ext cx="1967784" cy="499613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CA" sz="1200" b="1"/>
            <a:t>Prescribing to PDD=85%</a:t>
          </a:r>
        </a:p>
        <a:p xmlns:a="http://schemas.openxmlformats.org/drawingml/2006/main">
          <a:r>
            <a:rPr lang="en-CA" sz="1200" b="1"/>
            <a:t>Surface dose = 118% D</a:t>
          </a:r>
          <a:r>
            <a:rPr lang="en-CA" sz="1200" b="1" baseline="-25000"/>
            <a:t>prescr.</a:t>
          </a:r>
        </a:p>
      </cdr:txBody>
    </cdr:sp>
  </cdr:relSizeAnchor>
  <cdr:relSizeAnchor xmlns:cdr="http://schemas.openxmlformats.org/drawingml/2006/chartDrawing">
    <cdr:from>
      <cdr:x>0.37238</cdr:x>
      <cdr:y>0.30578</cdr:y>
    </cdr:from>
    <cdr:to>
      <cdr:x>0.48038</cdr:x>
      <cdr:y>0.30578</cdr:y>
    </cdr:to>
    <cdr:cxnSp macro="">
      <cdr:nvCxnSpPr>
        <cdr:cNvPr id="7" name="Straight Arrow Connector 6"/>
        <cdr:cNvCxnSpPr/>
      </cdr:nvCxnSpPr>
      <cdr:spPr>
        <a:xfrm xmlns:a="http://schemas.openxmlformats.org/drawingml/2006/main" flipH="1">
          <a:off x="2001619" y="2531010"/>
          <a:ext cx="580515" cy="0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7030A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0.50229</cdr:x>
      <cdr:y>0.2636</cdr:y>
    </cdr:from>
    <cdr:to>
      <cdr:x>0.86838</cdr:x>
      <cdr:y>0.32397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2699856" y="2181877"/>
          <a:ext cx="1967783" cy="499696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CA" sz="1200" b="1"/>
            <a:t>Prescribing to PDD=90%</a:t>
          </a:r>
        </a:p>
        <a:p xmlns:a="http://schemas.openxmlformats.org/drawingml/2006/main">
          <a:r>
            <a:rPr lang="en-CA" sz="1200" b="1"/>
            <a:t>Surface dose = 111% D</a:t>
          </a:r>
          <a:r>
            <a:rPr lang="en-CA" sz="1200" b="1" baseline="-25000"/>
            <a:t>prescr.</a:t>
          </a:r>
        </a:p>
      </cdr:txBody>
    </cdr:sp>
  </cdr:relSizeAnchor>
  <cdr:relSizeAnchor xmlns:cdr="http://schemas.openxmlformats.org/drawingml/2006/chartDrawing">
    <cdr:from>
      <cdr:x>0.00943</cdr:x>
      <cdr:y>0.00345</cdr:y>
    </cdr:from>
    <cdr:to>
      <cdr:x>0.87064</cdr:x>
      <cdr:y>0.03913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50661" y="28575"/>
          <a:ext cx="4629150" cy="295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000" b="1" baseline="0">
              <a:effectLst/>
            </a:rPr>
            <a:t>SSD=15cm -</a:t>
          </a:r>
          <a:r>
            <a:rPr lang="en-US" sz="2000" b="1">
              <a:effectLst/>
            </a:rPr>
            <a:t> Circ. field: diameter=3cm</a:t>
          </a:r>
          <a:endParaRPr lang="en-CA" sz="2000" b="1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0.67161</cdr:x>
      <cdr:y>0.45647</cdr:y>
    </cdr:from>
    <cdr:to>
      <cdr:x>0.98937</cdr:x>
      <cdr:y>0.51684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609975" y="3778326"/>
          <a:ext cx="1708011" cy="499696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000" b="1"/>
            <a:t>Prescribing to PDD=80%</a:t>
          </a:r>
        </a:p>
        <a:p xmlns:a="http://schemas.openxmlformats.org/drawingml/2006/main">
          <a:r>
            <a:rPr lang="en-CA" sz="1000" b="1"/>
            <a:t>Surface dose = 125% D</a:t>
          </a:r>
          <a:r>
            <a:rPr lang="en-CA" sz="1000" b="1" baseline="-25000"/>
            <a:t>prescr.</a:t>
          </a:r>
        </a:p>
      </cdr:txBody>
    </cdr:sp>
  </cdr:relSizeAnchor>
  <cdr:relSizeAnchor xmlns:cdr="http://schemas.openxmlformats.org/drawingml/2006/chartDrawing">
    <cdr:from>
      <cdr:x>0.52096</cdr:x>
      <cdr:y>0.40444</cdr:y>
    </cdr:from>
    <cdr:to>
      <cdr:x>0.62896</cdr:x>
      <cdr:y>0.40444</cdr:y>
    </cdr:to>
    <cdr:cxnSp macro="">
      <cdr:nvCxnSpPr>
        <cdr:cNvPr id="4" name="Straight Arrow Connector 3"/>
        <cdr:cNvCxnSpPr/>
      </cdr:nvCxnSpPr>
      <cdr:spPr>
        <a:xfrm xmlns:a="http://schemas.openxmlformats.org/drawingml/2006/main" flipH="1">
          <a:off x="2800247" y="3347641"/>
          <a:ext cx="580515" cy="0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7030A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0.58218</cdr:x>
      <cdr:y>0.3674</cdr:y>
    </cdr:from>
    <cdr:to>
      <cdr:x>0.94827</cdr:x>
      <cdr:y>0.42776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3129310" y="3041059"/>
          <a:ext cx="1967784" cy="499613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CA" sz="1200" b="1"/>
            <a:t>Prescribing to PDD=85%</a:t>
          </a:r>
        </a:p>
        <a:p xmlns:a="http://schemas.openxmlformats.org/drawingml/2006/main">
          <a:r>
            <a:rPr lang="en-CA" sz="1200" b="1"/>
            <a:t>Surface dose = 118% D</a:t>
          </a:r>
          <a:r>
            <a:rPr lang="en-CA" sz="1200" b="1" baseline="-25000"/>
            <a:t>prescr.</a:t>
          </a:r>
        </a:p>
      </cdr:txBody>
    </cdr:sp>
  </cdr:relSizeAnchor>
  <cdr:relSizeAnchor xmlns:cdr="http://schemas.openxmlformats.org/drawingml/2006/chartDrawing">
    <cdr:from>
      <cdr:x>0.39896</cdr:x>
      <cdr:y>0.30578</cdr:y>
    </cdr:from>
    <cdr:to>
      <cdr:x>0.50696</cdr:x>
      <cdr:y>0.30578</cdr:y>
    </cdr:to>
    <cdr:cxnSp macro="">
      <cdr:nvCxnSpPr>
        <cdr:cNvPr id="7" name="Straight Arrow Connector 6"/>
        <cdr:cNvCxnSpPr/>
      </cdr:nvCxnSpPr>
      <cdr:spPr>
        <a:xfrm xmlns:a="http://schemas.openxmlformats.org/drawingml/2006/main" flipH="1">
          <a:off x="2144468" y="2531010"/>
          <a:ext cx="580515" cy="0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7030A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0.50229</cdr:x>
      <cdr:y>0.2659</cdr:y>
    </cdr:from>
    <cdr:to>
      <cdr:x>0.86838</cdr:x>
      <cdr:y>0.32627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2699877" y="2200927"/>
          <a:ext cx="1967784" cy="499696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CA" sz="1200" b="1"/>
            <a:t>Prescribing to PDD=90%</a:t>
          </a:r>
        </a:p>
        <a:p xmlns:a="http://schemas.openxmlformats.org/drawingml/2006/main">
          <a:r>
            <a:rPr lang="en-CA" sz="1200" b="1"/>
            <a:t>Surface dose = 111% D</a:t>
          </a:r>
          <a:r>
            <a:rPr lang="en-CA" sz="1200" b="1" baseline="-25000"/>
            <a:t>prescr.</a:t>
          </a:r>
        </a:p>
      </cdr:txBody>
    </cdr:sp>
  </cdr:relSizeAnchor>
  <cdr:relSizeAnchor xmlns:cdr="http://schemas.openxmlformats.org/drawingml/2006/chartDrawing">
    <cdr:from>
      <cdr:x>0.00943</cdr:x>
      <cdr:y>0.00345</cdr:y>
    </cdr:from>
    <cdr:to>
      <cdr:x>0.87064</cdr:x>
      <cdr:y>0.03913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50661" y="28575"/>
          <a:ext cx="4629150" cy="295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000" b="1" baseline="0">
              <a:effectLst/>
            </a:rPr>
            <a:t>SSD=15cm -</a:t>
          </a:r>
          <a:r>
            <a:rPr lang="en-US" sz="2000" b="1">
              <a:effectLst/>
            </a:rPr>
            <a:t> Circ. field: diameter=4cm</a:t>
          </a:r>
          <a:endParaRPr lang="en-CA" sz="2000" b="1"/>
        </a:p>
      </cdr:txBody>
    </cdr:sp>
  </cdr:relSizeAnchor>
  <cdr:relSizeAnchor xmlns:cdr="http://schemas.openxmlformats.org/drawingml/2006/chartDrawing">
    <cdr:from>
      <cdr:x>0.63958</cdr:x>
      <cdr:y>0.50534</cdr:y>
    </cdr:from>
    <cdr:to>
      <cdr:x>0.74758</cdr:x>
      <cdr:y>0.50534</cdr:y>
    </cdr:to>
    <cdr:cxnSp macro="">
      <cdr:nvCxnSpPr>
        <cdr:cNvPr id="5" name="Straight Arrow Connector 4"/>
        <cdr:cNvCxnSpPr/>
      </cdr:nvCxnSpPr>
      <cdr:spPr>
        <a:xfrm xmlns:a="http://schemas.openxmlformats.org/drawingml/2006/main" flipH="1">
          <a:off x="3437836" y="4182825"/>
          <a:ext cx="580515" cy="0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7030A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0.72477</cdr:x>
      <cdr:y>0.44957</cdr:y>
    </cdr:from>
    <cdr:to>
      <cdr:x>1</cdr:x>
      <cdr:y>0.50994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895724" y="3721194"/>
          <a:ext cx="1479411" cy="499696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000" b="1"/>
            <a:t>Prescribing to PDD=80%</a:t>
          </a:r>
        </a:p>
        <a:p xmlns:a="http://schemas.openxmlformats.org/drawingml/2006/main">
          <a:r>
            <a:rPr lang="en-CA" sz="1000" b="1"/>
            <a:t>Surface dose = 125% D</a:t>
          </a:r>
          <a:r>
            <a:rPr lang="en-CA" sz="1000" b="1" baseline="-25000"/>
            <a:t>prescr.</a:t>
          </a:r>
        </a:p>
      </cdr:txBody>
    </cdr:sp>
  </cdr:relSizeAnchor>
  <cdr:relSizeAnchor xmlns:cdr="http://schemas.openxmlformats.org/drawingml/2006/chartDrawing">
    <cdr:from>
      <cdr:x>0.57235</cdr:x>
      <cdr:y>0.40559</cdr:y>
    </cdr:from>
    <cdr:to>
      <cdr:x>0.68035</cdr:x>
      <cdr:y>0.40559</cdr:y>
    </cdr:to>
    <cdr:cxnSp macro="">
      <cdr:nvCxnSpPr>
        <cdr:cNvPr id="4" name="Straight Arrow Connector 3"/>
        <cdr:cNvCxnSpPr/>
      </cdr:nvCxnSpPr>
      <cdr:spPr>
        <a:xfrm xmlns:a="http://schemas.openxmlformats.org/drawingml/2006/main" flipH="1">
          <a:off x="3076456" y="3357166"/>
          <a:ext cx="580515" cy="0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7030A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0.62731</cdr:x>
      <cdr:y>0.36625</cdr:y>
    </cdr:from>
    <cdr:to>
      <cdr:x>0.9908</cdr:x>
      <cdr:y>0.42661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3371850" y="3031527"/>
          <a:ext cx="1953830" cy="499614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CA" sz="1200" b="1"/>
            <a:t>Prescribing to PDD=85%</a:t>
          </a:r>
        </a:p>
        <a:p xmlns:a="http://schemas.openxmlformats.org/drawingml/2006/main">
          <a:r>
            <a:rPr lang="en-CA" sz="1200" b="1"/>
            <a:t>Surface dose = 118% D</a:t>
          </a:r>
          <a:r>
            <a:rPr lang="en-CA" sz="1200" b="1" baseline="-25000"/>
            <a:t>prescr.</a:t>
          </a:r>
        </a:p>
      </cdr:txBody>
    </cdr:sp>
  </cdr:relSizeAnchor>
  <cdr:relSizeAnchor xmlns:cdr="http://schemas.openxmlformats.org/drawingml/2006/chartDrawing">
    <cdr:from>
      <cdr:x>0.44326</cdr:x>
      <cdr:y>0.30578</cdr:y>
    </cdr:from>
    <cdr:to>
      <cdr:x>0.55126</cdr:x>
      <cdr:y>0.30578</cdr:y>
    </cdr:to>
    <cdr:cxnSp macro="">
      <cdr:nvCxnSpPr>
        <cdr:cNvPr id="7" name="Straight Arrow Connector 6"/>
        <cdr:cNvCxnSpPr/>
      </cdr:nvCxnSpPr>
      <cdr:spPr>
        <a:xfrm xmlns:a="http://schemas.openxmlformats.org/drawingml/2006/main" flipH="1">
          <a:off x="2382589" y="2531010"/>
          <a:ext cx="580515" cy="0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7030A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0.52533</cdr:x>
      <cdr:y>0.2659</cdr:y>
    </cdr:from>
    <cdr:to>
      <cdr:x>0.89142</cdr:x>
      <cdr:y>0.32627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2823702" y="2200914"/>
          <a:ext cx="1967784" cy="499696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CA" sz="1200" b="1"/>
            <a:t>Prescribing to PDD=90%</a:t>
          </a:r>
        </a:p>
        <a:p xmlns:a="http://schemas.openxmlformats.org/drawingml/2006/main">
          <a:r>
            <a:rPr lang="en-CA" sz="1200" b="1"/>
            <a:t>Surface dose = 111% D</a:t>
          </a:r>
          <a:r>
            <a:rPr lang="en-CA" sz="1200" b="1" baseline="-25000"/>
            <a:t>prescr.</a:t>
          </a:r>
        </a:p>
      </cdr:txBody>
    </cdr:sp>
  </cdr:relSizeAnchor>
  <cdr:relSizeAnchor xmlns:cdr="http://schemas.openxmlformats.org/drawingml/2006/chartDrawing">
    <cdr:from>
      <cdr:x>0.00943</cdr:x>
      <cdr:y>0.00345</cdr:y>
    </cdr:from>
    <cdr:to>
      <cdr:x>0.87064</cdr:x>
      <cdr:y>0.03913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50661" y="28575"/>
          <a:ext cx="4629150" cy="2952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000" b="1" baseline="0">
              <a:effectLst/>
            </a:rPr>
            <a:t>SSD=15cm -</a:t>
          </a:r>
          <a:r>
            <a:rPr lang="en-US" sz="2000" b="1">
              <a:effectLst/>
            </a:rPr>
            <a:t> Circ. field: diameter=6cm</a:t>
          </a:r>
          <a:endParaRPr lang="en-CA" sz="2000" b="1"/>
        </a:p>
      </cdr:txBody>
    </cdr:sp>
  </cdr:relSizeAnchor>
  <cdr:relSizeAnchor xmlns:cdr="http://schemas.openxmlformats.org/drawingml/2006/chartDrawing">
    <cdr:from>
      <cdr:x>0.71401</cdr:x>
      <cdr:y>0.50419</cdr:y>
    </cdr:from>
    <cdr:to>
      <cdr:x>0.82201</cdr:x>
      <cdr:y>0.50419</cdr:y>
    </cdr:to>
    <cdr:cxnSp macro="">
      <cdr:nvCxnSpPr>
        <cdr:cNvPr id="5" name="Straight Arrow Connector 4"/>
        <cdr:cNvCxnSpPr/>
      </cdr:nvCxnSpPr>
      <cdr:spPr>
        <a:xfrm xmlns:a="http://schemas.openxmlformats.org/drawingml/2006/main" flipH="1">
          <a:off x="3837879" y="4173288"/>
          <a:ext cx="580515" cy="0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7030A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uperficial_t_cal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ommissioning/SoftXray_chamber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ommissioning/HVL_determinatio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ommissioning/Bwdata_TG6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time_calc"/>
      <sheetName val="B-calc"/>
      <sheetName val="Verification"/>
      <sheetName val="B-calc-reg"/>
      <sheetName val="D0_tshutter_SSD"/>
      <sheetName val="Bw"/>
      <sheetName val="PDD"/>
      <sheetName val="Eq_circ"/>
      <sheetName val="Sheet2"/>
      <sheetName val="Lack_Bw_calc"/>
    </sheetNames>
    <sheetDataSet>
      <sheetData sheetId="0"/>
      <sheetData sheetId="1">
        <row r="20">
          <cell r="J20"/>
        </row>
        <row r="30">
          <cell r="H30"/>
          <cell r="L30"/>
        </row>
        <row r="31">
          <cell r="D31"/>
        </row>
        <row r="32">
          <cell r="C32"/>
          <cell r="H32"/>
          <cell r="K32" t="e">
            <v>#DIV/0!</v>
          </cell>
        </row>
        <row r="33">
          <cell r="B33"/>
        </row>
        <row r="34">
          <cell r="B34"/>
          <cell r="H34" t="e">
            <v>#DIV/0!</v>
          </cell>
        </row>
        <row r="37">
          <cell r="C37" t="str">
            <v/>
          </cell>
        </row>
        <row r="38">
          <cell r="C38">
            <v>0</v>
          </cell>
        </row>
      </sheetData>
      <sheetData sheetId="2"/>
      <sheetData sheetId="3"/>
      <sheetData sheetId="4">
        <row r="8">
          <cell r="C8" t="e">
            <v>#DIV/0!</v>
          </cell>
        </row>
        <row r="15">
          <cell r="C15">
            <v>2</v>
          </cell>
        </row>
        <row r="16">
          <cell r="C16">
            <v>2</v>
          </cell>
        </row>
        <row r="18">
          <cell r="C18">
            <v>2</v>
          </cell>
        </row>
      </sheetData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v-Markus"/>
      <sheetName val="SoftXrays"/>
      <sheetName val="FC65-G_Xrays"/>
      <sheetName val="Frmer-vs-Soft-meas"/>
      <sheetName val="Sheet1"/>
      <sheetName val="SoftXR-Stem effect"/>
      <sheetName val="Stem-Effect-FINAL"/>
      <sheetName val="Xstrahl_AbsDosim_FINAL"/>
      <sheetName val="Xstrahl-AbsDosim"/>
    </sheetNames>
    <sheetDataSet>
      <sheetData sheetId="0"/>
      <sheetData sheetId="1"/>
      <sheetData sheetId="2"/>
      <sheetData sheetId="3"/>
      <sheetData sheetId="4">
        <row r="4">
          <cell r="C4">
            <v>14</v>
          </cell>
          <cell r="D4">
            <v>14</v>
          </cell>
          <cell r="E4">
            <v>14</v>
          </cell>
          <cell r="F4">
            <v>14</v>
          </cell>
          <cell r="G4">
            <v>14</v>
          </cell>
        </row>
        <row r="5">
          <cell r="C5">
            <v>14.253587167264458</v>
          </cell>
          <cell r="D5">
            <v>14.309634446696885</v>
          </cell>
          <cell r="E5">
            <v>14.194462368503165</v>
          </cell>
          <cell r="F5">
            <v>14.159640080769908</v>
          </cell>
          <cell r="G5">
            <v>14.061106160666185</v>
          </cell>
        </row>
        <row r="6">
          <cell r="C6">
            <v>14.722499496788256</v>
          </cell>
          <cell r="D6">
            <v>14.722499496788256</v>
          </cell>
          <cell r="E6">
            <v>14.722499496788256</v>
          </cell>
          <cell r="F6">
            <v>14.62707870795985</v>
          </cell>
          <cell r="G6">
            <v>14.62707870795985</v>
          </cell>
        </row>
        <row r="7">
          <cell r="C7">
            <v>14.932052199081875</v>
          </cell>
          <cell r="D7">
            <v>14.943819651041721</v>
          </cell>
          <cell r="E7">
            <v>14.943819651041721</v>
          </cell>
          <cell r="F7">
            <v>14.463298881617698</v>
          </cell>
          <cell r="G7">
            <v>14.463298881617698</v>
          </cell>
        </row>
        <row r="8">
          <cell r="C8">
            <v>23.45926536638261</v>
          </cell>
          <cell r="D8">
            <v>23.45926536638261</v>
          </cell>
          <cell r="E8">
            <v>23.45926536638261</v>
          </cell>
          <cell r="F8">
            <v>23.829089878121238</v>
          </cell>
          <cell r="G8">
            <v>23.829089878121238</v>
          </cell>
        </row>
        <row r="9">
          <cell r="C9">
            <v>23.45926536638261</v>
          </cell>
          <cell r="D9">
            <v>23.45926536638261</v>
          </cell>
          <cell r="E9">
            <v>23.45926536638261</v>
          </cell>
          <cell r="F9">
            <v>23.829089878121238</v>
          </cell>
          <cell r="G9">
            <v>23.829089878121238</v>
          </cell>
        </row>
      </sheetData>
      <sheetData sheetId="5"/>
      <sheetData sheetId="6"/>
      <sheetData sheetId="7">
        <row r="14">
          <cell r="C14">
            <v>1.5112783163715874E-3</v>
          </cell>
          <cell r="D14">
            <v>4.4327580822263799E-4</v>
          </cell>
          <cell r="E14">
            <v>1.391633499397801E-4</v>
          </cell>
          <cell r="F14">
            <v>-4.6417452962293435E-4</v>
          </cell>
          <cell r="G14">
            <v>-5.1306074193043665E-4</v>
          </cell>
        </row>
        <row r="45">
          <cell r="C45">
            <v>6.5325785259885105</v>
          </cell>
          <cell r="D45">
            <v>3.3198543496062425</v>
          </cell>
          <cell r="E45">
            <v>3.5405765025635274</v>
          </cell>
          <cell r="F45">
            <v>4.069409230604494</v>
          </cell>
          <cell r="G45">
            <v>2.9266451840753058</v>
          </cell>
        </row>
        <row r="46">
          <cell r="C46">
            <v>6.5987234076830195</v>
          </cell>
          <cell r="D46">
            <v>3.4196826040366322</v>
          </cell>
          <cell r="E46">
            <v>3.6863169899006372</v>
          </cell>
          <cell r="F46">
            <v>4.2728416952585375</v>
          </cell>
          <cell r="G46">
            <v>3.076541869983378</v>
          </cell>
        </row>
        <row r="47">
          <cell r="C47">
            <v>6.6322247599874089</v>
          </cell>
          <cell r="D47">
            <v>3.4473137426469247</v>
          </cell>
          <cell r="E47">
            <v>3.719657625421632</v>
          </cell>
          <cell r="F47">
            <v>4.2818679773837491</v>
          </cell>
          <cell r="G47">
            <v>3.067961292076586</v>
          </cell>
        </row>
        <row r="48">
          <cell r="C48">
            <v>6.6277513089069933</v>
          </cell>
          <cell r="D48">
            <v>3.4552869519307556</v>
          </cell>
          <cell r="E48">
            <v>3.738813136940863</v>
          </cell>
          <cell r="F48">
            <v>4.2947515544941712</v>
          </cell>
          <cell r="G48">
            <v>3.080688388618833</v>
          </cell>
        </row>
        <row r="49">
          <cell r="C49">
            <v>2.2781901128754578</v>
          </cell>
          <cell r="D49">
            <v>1.2250515115118765</v>
          </cell>
          <cell r="E49">
            <v>1.3271251244713549</v>
          </cell>
          <cell r="F49">
            <v>1.5276633522364715</v>
          </cell>
          <cell r="G49">
            <v>1.0976334363649396</v>
          </cell>
        </row>
        <row r="50">
          <cell r="C50">
            <v>2.2819336672638628</v>
          </cell>
          <cell r="D50">
            <v>1.2304929907366615</v>
          </cell>
          <cell r="E50">
            <v>1.3265210897815913</v>
          </cell>
          <cell r="F50">
            <v>1.5216557579759284</v>
          </cell>
          <cell r="G50">
            <v>1.0931142493765187</v>
          </cell>
        </row>
      </sheetData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ering"/>
      <sheetName val="F1-B"/>
      <sheetName val="F2-B"/>
      <sheetName val="F3-B"/>
      <sheetName val="F4-B"/>
      <sheetName val="F5-B"/>
      <sheetName val="QA-HVL-Baseline"/>
      <sheetName val="HVL-final results"/>
      <sheetName val="HVL_determin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8">
          <cell r="B8">
            <v>0.19153463596821266</v>
          </cell>
          <cell r="C8">
            <v>0.81143768071028854</v>
          </cell>
          <cell r="D8">
            <v>2.0119459896403291</v>
          </cell>
          <cell r="E8">
            <v>2.6055254817837485</v>
          </cell>
          <cell r="F8">
            <v>4.0227103723161859</v>
          </cell>
        </row>
      </sheetData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w_Clin"/>
      <sheetName val="Dosim_Data_TG61"/>
      <sheetName val="muenro"/>
      <sheetName val="PDD-comp"/>
      <sheetName val="PDDs"/>
      <sheetName val="Clin-PDD"/>
    </sheetNames>
    <sheetDataSet>
      <sheetData sheetId="0">
        <row r="7">
          <cell r="B7"/>
          <cell r="C7">
            <v>0.19153463596821266</v>
          </cell>
          <cell r="D7">
            <v>0.81143768071028854</v>
          </cell>
          <cell r="E7">
            <v>2.0119459896403291</v>
          </cell>
          <cell r="F7">
            <v>2.6055254817837485</v>
          </cell>
          <cell r="G7">
            <v>4.0227103723161859</v>
          </cell>
        </row>
        <row r="8">
          <cell r="B8">
            <v>1</v>
          </cell>
          <cell r="C8">
            <v>1.021322770877457</v>
          </cell>
          <cell r="D8">
            <v>1.0431715652106544</v>
          </cell>
          <cell r="E8">
            <v>1.0560657029430218</v>
          </cell>
          <cell r="F8">
            <v>1.0593303901498108</v>
          </cell>
          <cell r="G8">
            <v>1.0589659344415256</v>
          </cell>
        </row>
        <row r="9">
          <cell r="B9">
            <v>2</v>
          </cell>
          <cell r="C9">
            <v>1.0295688099565035</v>
          </cell>
          <cell r="D9">
            <v>1.0754575072284116</v>
          </cell>
          <cell r="E9">
            <v>1.106143351875684</v>
          </cell>
          <cell r="F9">
            <v>1.113266305781405</v>
          </cell>
          <cell r="G9">
            <v>1.1180000000000001</v>
          </cell>
        </row>
        <row r="10">
          <cell r="B10">
            <v>3</v>
          </cell>
          <cell r="C10">
            <v>1.0328148490355495</v>
          </cell>
          <cell r="D10">
            <v>1.0926862608426173</v>
          </cell>
          <cell r="E10">
            <v>1.1367628117720872</v>
          </cell>
          <cell r="F10">
            <v>1.1498215605992423</v>
          </cell>
          <cell r="G10">
            <v>1.1615340655584743</v>
          </cell>
        </row>
        <row r="11">
          <cell r="B11">
            <v>5</v>
          </cell>
          <cell r="C11">
            <v>1.035145541754914</v>
          </cell>
          <cell r="D11">
            <v>1.1120007970621504</v>
          </cell>
          <cell r="E11">
            <v>1.1803942176581308</v>
          </cell>
          <cell r="F11">
            <v>1.1999823408988637</v>
          </cell>
          <cell r="G11">
            <v>1.223136262233897</v>
          </cell>
        </row>
        <row r="12">
          <cell r="B12">
            <v>10</v>
          </cell>
          <cell r="C12">
            <v>1.0363915808339603</v>
          </cell>
          <cell r="D12">
            <v>1.128343927483459</v>
          </cell>
          <cell r="E12">
            <v>1.226157029430218</v>
          </cell>
          <cell r="F12">
            <v>1.2588039014981063</v>
          </cell>
          <cell r="G12">
            <v>1.3068293003985847</v>
          </cell>
        </row>
        <row r="13">
          <cell r="B13">
            <v>15</v>
          </cell>
          <cell r="C13">
            <v>1.0364762344742782</v>
          </cell>
          <cell r="D13">
            <v>1.1319868984923374</v>
          </cell>
          <cell r="E13">
            <v>1.2397824623214415</v>
          </cell>
          <cell r="F13">
            <v>1.2786619190568356</v>
          </cell>
          <cell r="G13">
            <v>1.3389428522601656</v>
          </cell>
        </row>
        <row r="14">
          <cell r="B14">
            <v>20</v>
          </cell>
          <cell r="C14">
            <v>1.0368915808339603</v>
          </cell>
          <cell r="D14">
            <v>1.1340154926941133</v>
          </cell>
          <cell r="E14">
            <v>1.2438421922696432</v>
          </cell>
          <cell r="F14">
            <v>1.2856895464657543</v>
          </cell>
          <cell r="G14">
            <v>1.3510336937494305</v>
          </cell>
        </row>
        <row r="19">
          <cell r="B19"/>
          <cell r="C19">
            <v>0.19153463596821266</v>
          </cell>
          <cell r="D19">
            <v>0.81143768071028854</v>
          </cell>
          <cell r="E19">
            <v>2.0119459896403291</v>
          </cell>
          <cell r="F19">
            <v>2.6055254817837485</v>
          </cell>
          <cell r="G19">
            <v>4.0227103723161859</v>
          </cell>
        </row>
        <row r="20">
          <cell r="B20">
            <v>1</v>
          </cell>
          <cell r="C20">
            <v>1.0214074245177749</v>
          </cell>
          <cell r="D20">
            <v>1.0432001594124301</v>
          </cell>
          <cell r="E20">
            <v>1.0575537569533815</v>
          </cell>
          <cell r="F20">
            <v>1.0602248646680268</v>
          </cell>
          <cell r="G20">
            <v>1.0599659344415258</v>
          </cell>
        </row>
        <row r="21">
          <cell r="B21">
            <v>2</v>
          </cell>
          <cell r="C21">
            <v>1.0299841563161853</v>
          </cell>
          <cell r="D21">
            <v>1.0750146956319631</v>
          </cell>
          <cell r="E21">
            <v>1.1076254328912234</v>
          </cell>
          <cell r="F21">
            <v>1.1138580175587296</v>
          </cell>
          <cell r="G21">
            <v>1.1200000000000001</v>
          </cell>
        </row>
        <row r="22">
          <cell r="B22">
            <v>3</v>
          </cell>
          <cell r="C22">
            <v>1.0333148490355497</v>
          </cell>
          <cell r="D22">
            <v>1.0932720434479446</v>
          </cell>
          <cell r="E22">
            <v>1.1392628117720871</v>
          </cell>
          <cell r="F22">
            <v>1.1523215605992423</v>
          </cell>
          <cell r="G22">
            <v>1.1645454207446324</v>
          </cell>
        </row>
        <row r="23">
          <cell r="B23">
            <v>5</v>
          </cell>
          <cell r="C23">
            <v>1.035645541754914</v>
          </cell>
          <cell r="D23">
            <v>1.1125865796674774</v>
          </cell>
          <cell r="E23">
            <v>1.1829240826322316</v>
          </cell>
          <cell r="F23">
            <v>1.2039961546033231</v>
          </cell>
          <cell r="G23">
            <v>1.2316476174200552</v>
          </cell>
        </row>
        <row r="24">
          <cell r="B24">
            <v>10</v>
          </cell>
          <cell r="C24">
            <v>1.0373069271936424</v>
          </cell>
          <cell r="D24">
            <v>1.1310154926941132</v>
          </cell>
          <cell r="E24">
            <v>1.237192867399139</v>
          </cell>
          <cell r="F24">
            <v>1.2716204779434575</v>
          </cell>
          <cell r="G24">
            <v>1.3253860763293752</v>
          </cell>
        </row>
        <row r="25">
          <cell r="B25">
            <v>15</v>
          </cell>
          <cell r="C25">
            <v>1.0374762344742783</v>
          </cell>
          <cell r="D25">
            <v>1.1361584637029918</v>
          </cell>
          <cell r="E25">
            <v>1.2553601112541037</v>
          </cell>
          <cell r="F25">
            <v>1.2980978346884298</v>
          </cell>
          <cell r="G25">
            <v>1.3690223385632723</v>
          </cell>
        </row>
        <row r="26">
          <cell r="B26">
            <v>20</v>
          </cell>
          <cell r="C26">
            <v>1.0374762344742783</v>
          </cell>
          <cell r="D26">
            <v>1.1387156521065434</v>
          </cell>
          <cell r="E26">
            <v>1.2624616521660466</v>
          </cell>
          <cell r="F26">
            <v>1.3102448012835919</v>
          </cell>
          <cell r="G26">
            <v>1.3891018248663789</v>
          </cell>
        </row>
      </sheetData>
      <sheetData sheetId="1">
        <row r="55">
          <cell r="L55"/>
          <cell r="M55">
            <v>1</v>
          </cell>
          <cell r="N55">
            <v>2</v>
          </cell>
          <cell r="O55">
            <v>3</v>
          </cell>
          <cell r="P55">
            <v>4</v>
          </cell>
          <cell r="Q55">
            <v>5</v>
          </cell>
        </row>
        <row r="56">
          <cell r="L56">
            <v>0.3</v>
          </cell>
          <cell r="M56">
            <v>0.91700000000000004</v>
          </cell>
          <cell r="N56">
            <v>1.016</v>
          </cell>
          <cell r="O56">
            <v>1.0309999999999999</v>
          </cell>
          <cell r="P56">
            <v>0.89</v>
          </cell>
          <cell r="Q56">
            <v>4.2</v>
          </cell>
        </row>
        <row r="57">
          <cell r="L57">
            <v>0.4</v>
          </cell>
          <cell r="M57">
            <v>0.91800000000000004</v>
          </cell>
          <cell r="N57">
            <v>1.02</v>
          </cell>
          <cell r="O57">
            <v>1.0349999999999999</v>
          </cell>
          <cell r="P57">
            <v>0.89300000000000002</v>
          </cell>
          <cell r="Q57">
            <v>4.2889999999999997</v>
          </cell>
        </row>
        <row r="58">
          <cell r="L58">
            <v>0.5</v>
          </cell>
          <cell r="M58">
            <v>0.91900000000000004</v>
          </cell>
          <cell r="N58">
            <v>1.022</v>
          </cell>
          <cell r="O58">
            <v>1.0369999999999999</v>
          </cell>
          <cell r="P58">
            <v>0.89500000000000002</v>
          </cell>
          <cell r="Q58">
            <v>4.335</v>
          </cell>
        </row>
        <row r="59">
          <cell r="L59">
            <v>0.6</v>
          </cell>
          <cell r="M59">
            <v>0.92</v>
          </cell>
          <cell r="N59">
            <v>1.024</v>
          </cell>
          <cell r="O59">
            <v>1.0389999999999999</v>
          </cell>
          <cell r="P59">
            <v>0.89700000000000002</v>
          </cell>
          <cell r="Q59">
            <v>4.3819999999999997</v>
          </cell>
        </row>
        <row r="60">
          <cell r="L60">
            <v>0.8</v>
          </cell>
          <cell r="M60">
            <v>0.92100000000000004</v>
          </cell>
          <cell r="N60">
            <v>1.028</v>
          </cell>
          <cell r="O60">
            <v>1.0429999999999999</v>
          </cell>
          <cell r="P60">
            <v>0.90100000000000002</v>
          </cell>
          <cell r="Q60">
            <v>4.4749999999999996</v>
          </cell>
        </row>
        <row r="61">
          <cell r="L61">
            <v>1</v>
          </cell>
          <cell r="M61">
            <v>0.92300000000000004</v>
          </cell>
          <cell r="N61">
            <v>1.0309999999999999</v>
          </cell>
          <cell r="O61">
            <v>1.046</v>
          </cell>
          <cell r="P61">
            <v>0.90400000000000003</v>
          </cell>
          <cell r="Q61">
            <v>4.4939999999999998</v>
          </cell>
        </row>
        <row r="62">
          <cell r="L62">
            <v>1.2</v>
          </cell>
          <cell r="M62">
            <v>0.92500000000000004</v>
          </cell>
          <cell r="N62">
            <v>1.0309999999999999</v>
          </cell>
          <cell r="O62">
            <v>1.046</v>
          </cell>
          <cell r="P62">
            <v>0.90700000000000003</v>
          </cell>
          <cell r="Q62">
            <v>4.4690000000000003</v>
          </cell>
        </row>
        <row r="63">
          <cell r="L63">
            <v>1.5</v>
          </cell>
          <cell r="M63">
            <v>0.92700000000000005</v>
          </cell>
          <cell r="N63">
            <v>1.032</v>
          </cell>
          <cell r="O63">
            <v>1.0469999999999999</v>
          </cell>
          <cell r="P63">
            <v>0.91</v>
          </cell>
          <cell r="Q63">
            <v>4.4269999999999996</v>
          </cell>
        </row>
        <row r="64">
          <cell r="L64">
            <v>2</v>
          </cell>
          <cell r="M64">
            <v>0.93</v>
          </cell>
          <cell r="N64">
            <v>1.032</v>
          </cell>
          <cell r="O64">
            <v>1.0469999999999999</v>
          </cell>
          <cell r="P64">
            <v>0.91500000000000004</v>
          </cell>
          <cell r="Q64">
            <v>4.3499999999999996</v>
          </cell>
        </row>
        <row r="65">
          <cell r="L65">
            <v>3</v>
          </cell>
          <cell r="M65">
            <v>0.93400000000000005</v>
          </cell>
          <cell r="N65">
            <v>1.032</v>
          </cell>
          <cell r="O65">
            <v>1.0449999999999999</v>
          </cell>
          <cell r="P65">
            <v>0.92200000000000004</v>
          </cell>
          <cell r="Q65">
            <v>4.1790000000000003</v>
          </cell>
        </row>
        <row r="66">
          <cell r="L66">
            <v>4</v>
          </cell>
          <cell r="M66">
            <v>0.93899999999999995</v>
          </cell>
          <cell r="N66">
            <v>1.03</v>
          </cell>
          <cell r="O66">
            <v>1.042</v>
          </cell>
          <cell r="P66">
            <v>0.92900000000000005</v>
          </cell>
          <cell r="Q66">
            <v>3.9750000000000001</v>
          </cell>
        </row>
        <row r="67">
          <cell r="L67">
            <v>5</v>
          </cell>
          <cell r="M67">
            <v>0.94299999999999995</v>
          </cell>
          <cell r="N67">
            <v>1.028</v>
          </cell>
          <cell r="O67">
            <v>1.0389999999999999</v>
          </cell>
          <cell r="P67">
            <v>0.93500000000000005</v>
          </cell>
          <cell r="Q67">
            <v>3.7690000000000001</v>
          </cell>
        </row>
      </sheetData>
      <sheetData sheetId="2"/>
      <sheetData sheetId="3"/>
      <sheetData sheetId="4"/>
      <sheetData sheetId="5">
        <row r="5">
          <cell r="B5">
            <v>0</v>
          </cell>
          <cell r="C5">
            <v>1.6</v>
          </cell>
          <cell r="D5">
            <v>2</v>
          </cell>
          <cell r="E5">
            <v>4</v>
          </cell>
          <cell r="F5">
            <v>6</v>
          </cell>
          <cell r="G5">
            <v>8</v>
          </cell>
          <cell r="N5">
            <v>1.1499999999999999</v>
          </cell>
        </row>
        <row r="6">
          <cell r="A6">
            <v>0</v>
          </cell>
          <cell r="B6">
            <v>100</v>
          </cell>
          <cell r="C6">
            <v>100</v>
          </cell>
          <cell r="D6">
            <v>100</v>
          </cell>
          <cell r="E6">
            <v>100</v>
          </cell>
          <cell r="F6">
            <v>100</v>
          </cell>
          <cell r="G6">
            <v>100</v>
          </cell>
          <cell r="M6">
            <v>0</v>
          </cell>
          <cell r="N6">
            <v>1</v>
          </cell>
        </row>
        <row r="7">
          <cell r="A7">
            <v>0.1</v>
          </cell>
          <cell r="B7">
            <v>75.622640091539637</v>
          </cell>
          <cell r="C7">
            <v>75.622203710412833</v>
          </cell>
          <cell r="D7">
            <v>75.622094615131132</v>
          </cell>
          <cell r="E7">
            <v>75.622204681842902</v>
          </cell>
          <cell r="F7">
            <v>75.622684755301194</v>
          </cell>
          <cell r="G7">
            <v>75.622879292385733</v>
          </cell>
          <cell r="M7">
            <v>0.2</v>
          </cell>
          <cell r="N7">
            <v>0.62891529077879238</v>
          </cell>
        </row>
        <row r="8">
          <cell r="A8">
            <v>0.2</v>
          </cell>
          <cell r="B8">
            <v>61.191836682049654</v>
          </cell>
          <cell r="C8">
            <v>61.191122565357922</v>
          </cell>
          <cell r="D8">
            <v>61.190944036184987</v>
          </cell>
          <cell r="E8">
            <v>61.191107364470462</v>
          </cell>
          <cell r="F8">
            <v>61.191872580876392</v>
          </cell>
          <cell r="G8">
            <v>61.192183711252632</v>
          </cell>
          <cell r="M8">
            <v>0.4</v>
          </cell>
          <cell r="N8">
            <v>0.44618887261917772</v>
          </cell>
        </row>
        <row r="9">
          <cell r="A9">
            <v>0.4</v>
          </cell>
          <cell r="B9">
            <v>42.255398616360566</v>
          </cell>
          <cell r="C9">
            <v>42.255854798067723</v>
          </cell>
          <cell r="D9">
            <v>42.255968843494514</v>
          </cell>
          <cell r="E9">
            <v>42.256453536558396</v>
          </cell>
          <cell r="F9">
            <v>42.25686452147368</v>
          </cell>
          <cell r="G9">
            <v>42.257287332310469</v>
          </cell>
          <cell r="M9">
            <v>0.8</v>
          </cell>
          <cell r="N9">
            <v>0.27026851202564062</v>
          </cell>
        </row>
        <row r="10">
          <cell r="A10">
            <v>0.8</v>
          </cell>
          <cell r="B10">
            <v>24.274404995254358</v>
          </cell>
          <cell r="C10">
            <v>24.273288725756913</v>
          </cell>
          <cell r="D10">
            <v>24.273009658382552</v>
          </cell>
          <cell r="E10">
            <v>24.273226159475534</v>
          </cell>
          <cell r="F10">
            <v>24.27437515692716</v>
          </cell>
          <cell r="G10">
            <v>24.274844812772628</v>
          </cell>
          <cell r="M10">
            <v>1.2</v>
          </cell>
          <cell r="N10">
            <v>0.18160199380621328</v>
          </cell>
        </row>
        <row r="11">
          <cell r="A11">
            <v>1.2</v>
          </cell>
          <cell r="B11">
            <v>15.490210230742157</v>
          </cell>
          <cell r="C11">
            <v>15.489198042146171</v>
          </cell>
          <cell r="D11">
            <v>15.488944994997174</v>
          </cell>
          <cell r="E11">
            <v>15.489130769167529</v>
          </cell>
          <cell r="F11">
            <v>15.490159827536246</v>
          </cell>
          <cell r="G11">
            <v>15.490581160187986</v>
          </cell>
          <cell r="M11">
            <v>1.4</v>
          </cell>
          <cell r="N11">
            <v>0.14675126846766934</v>
          </cell>
        </row>
        <row r="12">
          <cell r="A12">
            <v>1.4</v>
          </cell>
          <cell r="B12">
            <v>12.204601952188394</v>
          </cell>
          <cell r="C12">
            <v>12.203592176055652</v>
          </cell>
          <cell r="D12">
            <v>12.203339732022467</v>
          </cell>
          <cell r="E12">
            <v>12.203454151133464</v>
          </cell>
          <cell r="F12">
            <v>12.204394597903047</v>
          </cell>
          <cell r="G12">
            <v>12.2047844330543</v>
          </cell>
          <cell r="M12">
            <v>1.8</v>
          </cell>
          <cell r="N12">
            <v>9.6964251539716356E-2</v>
          </cell>
        </row>
        <row r="13">
          <cell r="A13">
            <v>1.8</v>
          </cell>
          <cell r="B13">
            <v>7.6731280387765306</v>
          </cell>
          <cell r="C13">
            <v>7.6723783701923418</v>
          </cell>
          <cell r="D13">
            <v>7.6721909530462948</v>
          </cell>
          <cell r="E13">
            <v>7.6723269057046668</v>
          </cell>
          <cell r="F13">
            <v>7.6730870769187938</v>
          </cell>
          <cell r="G13">
            <v>7.6733984283000698</v>
          </cell>
          <cell r="M13">
            <v>3</v>
          </cell>
          <cell r="N13">
            <v>4.5394949413469179E-2</v>
          </cell>
        </row>
        <row r="14">
          <cell r="M14">
            <v>5</v>
          </cell>
          <cell r="N14">
            <v>9.1399757751875876E-3</v>
          </cell>
        </row>
        <row r="18">
          <cell r="B18">
            <v>0</v>
          </cell>
          <cell r="C18">
            <v>1.6</v>
          </cell>
          <cell r="D18">
            <v>2</v>
          </cell>
          <cell r="E18">
            <v>4</v>
          </cell>
          <cell r="F18">
            <v>8</v>
          </cell>
          <cell r="G18">
            <v>10</v>
          </cell>
          <cell r="H18">
            <v>15</v>
          </cell>
          <cell r="N18">
            <v>1.25</v>
          </cell>
        </row>
        <row r="19">
          <cell r="A19">
            <v>0</v>
          </cell>
          <cell r="B19">
            <v>100</v>
          </cell>
          <cell r="C19">
            <v>100</v>
          </cell>
          <cell r="D19">
            <v>100</v>
          </cell>
          <cell r="E19">
            <v>100</v>
          </cell>
          <cell r="F19">
            <v>100</v>
          </cell>
          <cell r="G19">
            <v>100</v>
          </cell>
          <cell r="H19">
            <v>100</v>
          </cell>
          <cell r="M19">
            <v>0</v>
          </cell>
          <cell r="N19">
            <v>1</v>
          </cell>
        </row>
        <row r="20">
          <cell r="A20">
            <v>0.1</v>
          </cell>
          <cell r="B20">
            <v>77.523359380539915</v>
          </cell>
          <cell r="C20">
            <v>77.523138959513773</v>
          </cell>
          <cell r="D20">
            <v>77.523083854257237</v>
          </cell>
          <cell r="E20">
            <v>77.523058710538066</v>
          </cell>
          <cell r="F20">
            <v>77.523181743251854</v>
          </cell>
          <cell r="G20">
            <v>77.523188685446257</v>
          </cell>
          <cell r="H20">
            <v>77.523273569120917</v>
          </cell>
          <cell r="M20">
            <v>0.1</v>
          </cell>
          <cell r="N20">
            <v>0.7818453642478137</v>
          </cell>
        </row>
        <row r="21">
          <cell r="A21">
            <v>0.2</v>
          </cell>
          <cell r="B21">
            <v>63.537327470651391</v>
          </cell>
          <cell r="C21">
            <v>63.536965272003293</v>
          </cell>
          <cell r="D21">
            <v>63.536874722341267</v>
          </cell>
          <cell r="E21">
            <v>63.536831389857376</v>
          </cell>
          <cell r="F21">
            <v>63.537031165753909</v>
          </cell>
          <cell r="G21">
            <v>63.537042321904138</v>
          </cell>
          <cell r="H21">
            <v>63.537180289162237</v>
          </cell>
          <cell r="M21">
            <v>0.2</v>
          </cell>
          <cell r="N21">
            <v>0.64623415965577502</v>
          </cell>
        </row>
        <row r="22">
          <cell r="A22">
            <v>0.4</v>
          </cell>
          <cell r="B22">
            <v>45.046640407124613</v>
          </cell>
          <cell r="C22">
            <v>45.04611236586382</v>
          </cell>
          <cell r="D22">
            <v>45.045980355548622</v>
          </cell>
          <cell r="E22">
            <v>45.045901480369267</v>
          </cell>
          <cell r="F22">
            <v>45.046174090925561</v>
          </cell>
          <cell r="G22">
            <v>45.04618839755733</v>
          </cell>
          <cell r="H22">
            <v>45.046377739759151</v>
          </cell>
          <cell r="M22">
            <v>0.4</v>
          </cell>
          <cell r="N22">
            <v>0.46593194145683386</v>
          </cell>
        </row>
        <row r="23">
          <cell r="A23">
            <v>0.8</v>
          </cell>
          <cell r="B23">
            <v>26.550499137023351</v>
          </cell>
          <cell r="C23">
            <v>26.549876487226442</v>
          </cell>
          <cell r="D23">
            <v>26.549720824777214</v>
          </cell>
          <cell r="E23">
            <v>26.549619582782903</v>
          </cell>
          <cell r="F23">
            <v>26.5499312617508</v>
          </cell>
          <cell r="G23">
            <v>26.549947104976891</v>
          </cell>
          <cell r="H23">
            <v>26.55016418432605</v>
          </cell>
          <cell r="M23">
            <v>0.8</v>
          </cell>
          <cell r="N23">
            <v>0.28388961947344354</v>
          </cell>
        </row>
        <row r="24">
          <cell r="A24">
            <v>1.2</v>
          </cell>
          <cell r="B24">
            <v>17.539395235118</v>
          </cell>
          <cell r="C24">
            <v>17.538782065699341</v>
          </cell>
          <cell r="D24">
            <v>17.538628773344676</v>
          </cell>
          <cell r="E24">
            <v>17.538508460927794</v>
          </cell>
          <cell r="F24">
            <v>17.538790927599862</v>
          </cell>
          <cell r="G24">
            <v>17.538803959734722</v>
          </cell>
          <cell r="H24">
            <v>17.539002247534551</v>
          </cell>
          <cell r="M24">
            <v>1.2</v>
          </cell>
          <cell r="N24">
            <v>0.19376386851956792</v>
          </cell>
        </row>
        <row r="25">
          <cell r="A25">
            <v>1.4</v>
          </cell>
          <cell r="B25">
            <v>14.041784593657187</v>
          </cell>
          <cell r="C25">
            <v>14.041211286818051</v>
          </cell>
          <cell r="D25">
            <v>14.041067960108267</v>
          </cell>
          <cell r="E25">
            <v>14.040966373881417</v>
          </cell>
          <cell r="F25">
            <v>14.041243421142575</v>
          </cell>
          <cell r="G25">
            <v>14.041256965618274</v>
          </cell>
          <cell r="H25">
            <v>14.041450555523866</v>
          </cell>
          <cell r="M25">
            <v>1.4</v>
          </cell>
          <cell r="N25">
            <v>0.15764684229811482</v>
          </cell>
        </row>
        <row r="26">
          <cell r="A26">
            <v>1.8</v>
          </cell>
          <cell r="B26">
            <v>9.0244659626998711</v>
          </cell>
          <cell r="C26">
            <v>9.0239687550145646</v>
          </cell>
          <cell r="D26">
            <v>9.023844453093238</v>
          </cell>
          <cell r="E26">
            <v>9.0237323808991636</v>
          </cell>
          <cell r="F26">
            <v>9.0239442005752011</v>
          </cell>
          <cell r="G26">
            <v>9.0239529586197307</v>
          </cell>
          <cell r="H26">
            <v>9.024102842406819</v>
          </cell>
          <cell r="M26">
            <v>3</v>
          </cell>
          <cell r="N26">
            <v>6.1324618013598696E-2</v>
          </cell>
        </row>
        <row r="27">
          <cell r="M27">
            <v>5</v>
          </cell>
          <cell r="N27">
            <v>1.0093881075002226E-2</v>
          </cell>
        </row>
        <row r="34">
          <cell r="B34">
            <v>0</v>
          </cell>
          <cell r="C34">
            <v>1</v>
          </cell>
          <cell r="D34">
            <v>2</v>
          </cell>
          <cell r="E34">
            <v>3</v>
          </cell>
          <cell r="F34">
            <v>4</v>
          </cell>
          <cell r="G34">
            <v>5</v>
          </cell>
          <cell r="H34">
            <v>6</v>
          </cell>
          <cell r="I34">
            <v>8</v>
          </cell>
          <cell r="N34">
            <v>2.15</v>
          </cell>
        </row>
        <row r="35">
          <cell r="A35">
            <v>0</v>
          </cell>
          <cell r="B35">
            <v>100</v>
          </cell>
          <cell r="C35">
            <v>100</v>
          </cell>
          <cell r="D35">
            <v>100</v>
          </cell>
          <cell r="E35">
            <v>100</v>
          </cell>
          <cell r="F35">
            <v>100</v>
          </cell>
          <cell r="G35">
            <v>100</v>
          </cell>
          <cell r="H35">
            <v>100</v>
          </cell>
          <cell r="I35">
            <v>100</v>
          </cell>
          <cell r="M35">
            <v>0</v>
          </cell>
          <cell r="N35">
            <v>1</v>
          </cell>
        </row>
        <row r="36">
          <cell r="A36">
            <v>0.4</v>
          </cell>
          <cell r="B36">
            <v>69.635969142857149</v>
          </cell>
          <cell r="C36">
            <v>71.840571428571437</v>
          </cell>
          <cell r="D36">
            <v>73.554285714285726</v>
          </cell>
          <cell r="E36">
            <v>74.769333333333336</v>
          </cell>
          <cell r="F36">
            <v>75.555333333333337</v>
          </cell>
          <cell r="G36">
            <v>76.25333333333333</v>
          </cell>
          <cell r="H36">
            <v>76.785023770039857</v>
          </cell>
          <cell r="I36">
            <v>77.701737976786248</v>
          </cell>
          <cell r="M36">
            <v>0.4</v>
          </cell>
          <cell r="N36">
            <v>0.7353094653700698</v>
          </cell>
        </row>
        <row r="37">
          <cell r="A37">
            <v>0.8</v>
          </cell>
          <cell r="B37">
            <v>50.473453333333332</v>
          </cell>
          <cell r="C37">
            <v>53.884571428571427</v>
          </cell>
          <cell r="D37">
            <v>56.265619047619047</v>
          </cell>
          <cell r="E37">
            <v>57.825333333333333</v>
          </cell>
          <cell r="F37">
            <v>58.794666666666664</v>
          </cell>
          <cell r="G37">
            <v>59.565999999999995</v>
          </cell>
          <cell r="H37">
            <v>60.321964087216813</v>
          </cell>
          <cell r="I37">
            <v>61.606558928317106</v>
          </cell>
          <cell r="M37">
            <v>0.8</v>
          </cell>
          <cell r="N37">
            <v>0.56196578790963148</v>
          </cell>
        </row>
        <row r="38">
          <cell r="A38">
            <v>1.6</v>
          </cell>
          <cell r="B38">
            <v>30.01810285714285</v>
          </cell>
          <cell r="C38">
            <v>33.598571428571425</v>
          </cell>
          <cell r="D38">
            <v>35.928285714285714</v>
          </cell>
          <cell r="E38">
            <v>37.50266666666667</v>
          </cell>
          <cell r="F38">
            <v>38.494</v>
          </cell>
          <cell r="G38">
            <v>39.250666666666667</v>
          </cell>
          <cell r="H38">
            <v>39.745567290274693</v>
          </cell>
          <cell r="I38">
            <v>40.456701870824062</v>
          </cell>
          <cell r="M38">
            <v>1.6</v>
          </cell>
          <cell r="N38">
            <v>0.37008287474910817</v>
          </cell>
        </row>
        <row r="39">
          <cell r="A39">
            <v>2.4</v>
          </cell>
          <cell r="B39">
            <v>19.508747619047622</v>
          </cell>
          <cell r="C39">
            <v>22.425238095238097</v>
          </cell>
          <cell r="D39">
            <v>24.314952380952381</v>
          </cell>
          <cell r="E39">
            <v>25.772000000000002</v>
          </cell>
          <cell r="F39">
            <v>26.734000000000002</v>
          </cell>
          <cell r="G39">
            <v>27.490666666666669</v>
          </cell>
          <cell r="H39">
            <v>27.85512566112962</v>
          </cell>
          <cell r="I39">
            <v>28.320043650055528</v>
          </cell>
          <cell r="M39">
            <v>2.4</v>
          </cell>
          <cell r="N39">
            <v>0.26501276611063923</v>
          </cell>
        </row>
        <row r="40">
          <cell r="A40">
            <v>3.2</v>
          </cell>
          <cell r="B40">
            <v>12.121120000000001</v>
          </cell>
          <cell r="C40">
            <v>14.221226190476191</v>
          </cell>
          <cell r="D40">
            <v>15.816285714285714</v>
          </cell>
          <cell r="E40">
            <v>17.119333333333334</v>
          </cell>
          <cell r="F40">
            <v>18.037333333333333</v>
          </cell>
          <cell r="G40">
            <v>18.779333333333334</v>
          </cell>
          <cell r="H40">
            <v>19.269615902392651</v>
          </cell>
          <cell r="I40">
            <v>20.044847707177951</v>
          </cell>
          <cell r="M40">
            <v>3.2</v>
          </cell>
          <cell r="N40">
            <v>0.18061477692271105</v>
          </cell>
        </row>
        <row r="41">
          <cell r="A41">
            <v>4</v>
          </cell>
          <cell r="B41">
            <v>7.9099428571428572</v>
          </cell>
          <cell r="C41">
            <v>9.3885714285714279</v>
          </cell>
          <cell r="D41">
            <v>10.537619047619048</v>
          </cell>
          <cell r="E41">
            <v>11.576666666666666</v>
          </cell>
          <cell r="F41">
            <v>12.406666666666666</v>
          </cell>
          <cell r="G41">
            <v>13.09</v>
          </cell>
          <cell r="H41">
            <v>13.495244101588199</v>
          </cell>
          <cell r="I41">
            <v>14.159065638097935</v>
          </cell>
          <cell r="M41">
            <v>6</v>
          </cell>
          <cell r="N41">
            <v>9.5230609594767104E-2</v>
          </cell>
        </row>
        <row r="42">
          <cell r="M42">
            <v>10</v>
          </cell>
          <cell r="N42">
            <v>2.2880749804335992E-2</v>
          </cell>
        </row>
        <row r="46">
          <cell r="B46">
            <v>0</v>
          </cell>
          <cell r="C46">
            <v>1</v>
          </cell>
          <cell r="D46">
            <v>2</v>
          </cell>
          <cell r="E46">
            <v>3</v>
          </cell>
          <cell r="F46">
            <v>4</v>
          </cell>
          <cell r="G46">
            <v>5</v>
          </cell>
          <cell r="H46">
            <v>6</v>
          </cell>
          <cell r="I46">
            <v>10</v>
          </cell>
          <cell r="J46">
            <v>15</v>
          </cell>
          <cell r="N46">
            <v>2.25</v>
          </cell>
        </row>
        <row r="47">
          <cell r="A47">
            <v>0</v>
          </cell>
          <cell r="B47">
            <v>100</v>
          </cell>
          <cell r="C47">
            <v>100</v>
          </cell>
          <cell r="D47">
            <v>100</v>
          </cell>
          <cell r="E47">
            <v>100</v>
          </cell>
          <cell r="F47">
            <v>100</v>
          </cell>
          <cell r="G47">
            <v>100</v>
          </cell>
          <cell r="H47">
            <v>100</v>
          </cell>
          <cell r="I47">
            <v>100</v>
          </cell>
          <cell r="J47">
            <v>100</v>
          </cell>
          <cell r="M47">
            <v>0</v>
          </cell>
          <cell r="N47">
            <v>1</v>
          </cell>
        </row>
        <row r="48">
          <cell r="A48">
            <v>0.4</v>
          </cell>
          <cell r="B48">
            <v>71.588843194861695</v>
          </cell>
          <cell r="C48">
            <v>74.158328828530358</v>
          </cell>
          <cell r="D48">
            <v>76.004694833968088</v>
          </cell>
          <cell r="E48">
            <v>77.41106083940582</v>
          </cell>
          <cell r="F48">
            <v>78.135658406364698</v>
          </cell>
          <cell r="G48">
            <v>78.713589306656885</v>
          </cell>
          <cell r="H48">
            <v>78.986296683422793</v>
          </cell>
          <cell r="I48">
            <v>79.754459523819733</v>
          </cell>
          <cell r="J48">
            <v>80.5120326334673</v>
          </cell>
          <cell r="M48">
            <v>0.4</v>
          </cell>
          <cell r="N48">
            <v>0.74046651193004875</v>
          </cell>
        </row>
        <row r="49">
          <cell r="A49">
            <v>0.8</v>
          </cell>
          <cell r="B49">
            <v>54.219498107507988</v>
          </cell>
          <cell r="C49">
            <v>57.12232444903097</v>
          </cell>
          <cell r="D49">
            <v>59.477479092498314</v>
          </cell>
          <cell r="E49">
            <v>61.216633735965665</v>
          </cell>
          <cell r="F49">
            <v>62.131183673048739</v>
          </cell>
          <cell r="G49">
            <v>62.818400276798478</v>
          </cell>
          <cell r="H49">
            <v>63.295963470976616</v>
          </cell>
          <cell r="I49">
            <v>64.758882914355823</v>
          </cell>
          <cell r="J49">
            <v>65.636342980262185</v>
          </cell>
          <cell r="M49">
            <v>0.8</v>
          </cell>
          <cell r="N49">
            <v>0.57973873132643527</v>
          </cell>
        </row>
        <row r="50">
          <cell r="A50">
            <v>1.6</v>
          </cell>
          <cell r="B50">
            <v>33.219170420028284</v>
          </cell>
          <cell r="C50">
            <v>36.259434920550682</v>
          </cell>
          <cell r="D50">
            <v>38.621757167603114</v>
          </cell>
          <cell r="E50">
            <v>40.390079414655553</v>
          </cell>
          <cell r="F50">
            <v>41.335640312443878</v>
          </cell>
          <cell r="G50">
            <v>42.046534543565542</v>
          </cell>
          <cell r="H50">
            <v>42.449835500216992</v>
          </cell>
          <cell r="I50">
            <v>43.498372660156122</v>
          </cell>
          <cell r="J50">
            <v>44.410623513511091</v>
          </cell>
          <cell r="M50">
            <v>1.6</v>
          </cell>
          <cell r="N50">
            <v>0.37896622102891847</v>
          </cell>
        </row>
        <row r="51">
          <cell r="A51">
            <v>2.4</v>
          </cell>
          <cell r="B51">
            <v>21.668981229957733</v>
          </cell>
          <cell r="C51">
            <v>24.386983309579183</v>
          </cell>
          <cell r="D51">
            <v>26.434810711985445</v>
          </cell>
          <cell r="E51">
            <v>28.064638114391709</v>
          </cell>
          <cell r="F51">
            <v>28.962625679713462</v>
          </cell>
          <cell r="G51">
            <v>29.669946578368549</v>
          </cell>
          <cell r="H51">
            <v>30.072472397765853</v>
          </cell>
          <cell r="I51">
            <v>31.161909008688419</v>
          </cell>
          <cell r="J51">
            <v>32.050832166512357</v>
          </cell>
          <cell r="M51">
            <v>2.4</v>
          </cell>
          <cell r="N51">
            <v>0.26320994656166496</v>
          </cell>
        </row>
        <row r="52">
          <cell r="A52">
            <v>3.2</v>
          </cell>
          <cell r="B52">
            <v>14.811322153349264</v>
          </cell>
          <cell r="C52">
            <v>16.908056502888645</v>
          </cell>
          <cell r="D52">
            <v>18.546708723973921</v>
          </cell>
          <cell r="E52">
            <v>19.994694278392529</v>
          </cell>
          <cell r="F52">
            <v>20.830757832529066</v>
          </cell>
          <cell r="G52">
            <v>21.527488053332267</v>
          </cell>
          <cell r="H52">
            <v>21.914643571076898</v>
          </cell>
          <cell r="I52">
            <v>23.045265642055423</v>
          </cell>
          <cell r="J52">
            <v>23.911379998374912</v>
          </cell>
          <cell r="M52">
            <v>3.2</v>
          </cell>
          <cell r="N52">
            <v>0.19119680307652615</v>
          </cell>
        </row>
        <row r="53">
          <cell r="A53">
            <v>4</v>
          </cell>
          <cell r="B53">
            <v>9.510126115864038</v>
          </cell>
          <cell r="C53">
            <v>11.144448239352187</v>
          </cell>
          <cell r="D53">
            <v>12.484642751009488</v>
          </cell>
          <cell r="E53">
            <v>13.751503929333456</v>
          </cell>
          <cell r="F53">
            <v>14.525976806096823</v>
          </cell>
          <cell r="G53">
            <v>15.190449682860187</v>
          </cell>
          <cell r="H53">
            <v>15.60631254962605</v>
          </cell>
          <cell r="I53">
            <v>16.646430683356165</v>
          </cell>
          <cell r="J53">
            <v>17.534195607072185</v>
          </cell>
          <cell r="M53">
            <v>6</v>
          </cell>
          <cell r="N53">
            <v>9.4738412925776491E-2</v>
          </cell>
        </row>
        <row r="54">
          <cell r="M54">
            <v>10</v>
          </cell>
          <cell r="N54">
            <v>2.251575762481093E-2</v>
          </cell>
        </row>
        <row r="61">
          <cell r="B61">
            <v>0</v>
          </cell>
          <cell r="C61">
            <v>1</v>
          </cell>
          <cell r="D61">
            <v>2</v>
          </cell>
          <cell r="E61">
            <v>3</v>
          </cell>
          <cell r="F61">
            <v>4</v>
          </cell>
          <cell r="G61">
            <v>5</v>
          </cell>
          <cell r="H61">
            <v>6</v>
          </cell>
          <cell r="I61">
            <v>8</v>
          </cell>
          <cell r="N61">
            <v>3.15</v>
          </cell>
        </row>
        <row r="62">
          <cell r="A62">
            <v>0</v>
          </cell>
          <cell r="B62">
            <v>100</v>
          </cell>
          <cell r="C62">
            <v>100</v>
          </cell>
          <cell r="D62">
            <v>100</v>
          </cell>
          <cell r="E62">
            <v>100</v>
          </cell>
          <cell r="F62">
            <v>100</v>
          </cell>
          <cell r="G62">
            <v>100</v>
          </cell>
          <cell r="H62">
            <v>100</v>
          </cell>
          <cell r="I62">
            <v>100</v>
          </cell>
          <cell r="M62">
            <v>0</v>
          </cell>
          <cell r="N62">
            <v>1</v>
          </cell>
        </row>
        <row r="63">
          <cell r="A63">
            <v>0.5</v>
          </cell>
          <cell r="B63">
            <v>71.577000000000012</v>
          </cell>
          <cell r="C63">
            <v>75.900000000000006</v>
          </cell>
          <cell r="D63">
            <v>79.5</v>
          </cell>
          <cell r="E63">
            <v>82</v>
          </cell>
          <cell r="F63">
            <v>83.6</v>
          </cell>
          <cell r="G63">
            <v>84.7</v>
          </cell>
          <cell r="H63">
            <v>85.6</v>
          </cell>
          <cell r="I63">
            <v>86.7</v>
          </cell>
          <cell r="M63">
            <v>0.5</v>
          </cell>
          <cell r="N63">
            <v>0.76598454221165302</v>
          </cell>
        </row>
        <row r="64">
          <cell r="A64">
            <v>1</v>
          </cell>
          <cell r="B64">
            <v>50.924999999999997</v>
          </cell>
          <cell r="C64">
            <v>58.2</v>
          </cell>
          <cell r="D64">
            <v>63.9</v>
          </cell>
          <cell r="E64">
            <v>68.099999999999994</v>
          </cell>
          <cell r="F64">
            <v>70.5</v>
          </cell>
          <cell r="G64">
            <v>72</v>
          </cell>
          <cell r="H64">
            <v>73.2</v>
          </cell>
          <cell r="I64">
            <v>74.900000000000006</v>
          </cell>
          <cell r="M64">
            <v>1</v>
          </cell>
          <cell r="N64">
            <v>0.58191349583828766</v>
          </cell>
        </row>
        <row r="65">
          <cell r="A65">
            <v>2</v>
          </cell>
          <cell r="B65">
            <v>30.942999999999994</v>
          </cell>
          <cell r="C65">
            <v>37</v>
          </cell>
          <cell r="D65">
            <v>42.1</v>
          </cell>
          <cell r="E65">
            <v>46.1</v>
          </cell>
          <cell r="F65">
            <v>48.9</v>
          </cell>
          <cell r="G65">
            <v>50.9</v>
          </cell>
          <cell r="H65">
            <v>52.4</v>
          </cell>
          <cell r="I65">
            <v>54.4</v>
          </cell>
          <cell r="M65">
            <v>2</v>
          </cell>
          <cell r="N65">
            <v>0.40067689655172406</v>
          </cell>
        </row>
        <row r="66">
          <cell r="A66">
            <v>3</v>
          </cell>
          <cell r="B66">
            <v>19.594000000000001</v>
          </cell>
          <cell r="C66">
            <v>24.1</v>
          </cell>
          <cell r="D66">
            <v>28</v>
          </cell>
          <cell r="E66">
            <v>31.5</v>
          </cell>
          <cell r="F66">
            <v>33.799999999999997</v>
          </cell>
          <cell r="G66">
            <v>35.700000000000003</v>
          </cell>
          <cell r="H66">
            <v>37.1</v>
          </cell>
          <cell r="I66">
            <v>39.299999999999997</v>
          </cell>
          <cell r="M66">
            <v>3</v>
          </cell>
          <cell r="N66">
            <v>0.28540606420927467</v>
          </cell>
        </row>
        <row r="67">
          <cell r="A67">
            <v>4</v>
          </cell>
          <cell r="B67">
            <v>12.901</v>
          </cell>
          <cell r="C67">
            <v>16.3</v>
          </cell>
          <cell r="D67">
            <v>19.3</v>
          </cell>
          <cell r="E67">
            <v>21.6</v>
          </cell>
          <cell r="F67">
            <v>23.3</v>
          </cell>
          <cell r="G67">
            <v>24.9</v>
          </cell>
          <cell r="H67">
            <v>26.2</v>
          </cell>
          <cell r="I67">
            <v>28.3</v>
          </cell>
          <cell r="M67">
            <v>4</v>
          </cell>
          <cell r="N67">
            <v>0.21000557669441144</v>
          </cell>
        </row>
        <row r="68">
          <cell r="M68">
            <v>6</v>
          </cell>
          <cell r="N68">
            <v>0.10249561180478063</v>
          </cell>
        </row>
        <row r="69">
          <cell r="M69">
            <v>10</v>
          </cell>
          <cell r="N69">
            <v>2.5986028034736746E-2</v>
          </cell>
        </row>
        <row r="73">
          <cell r="B73">
            <v>0</v>
          </cell>
          <cell r="C73">
            <v>1</v>
          </cell>
          <cell r="D73">
            <v>2</v>
          </cell>
          <cell r="E73">
            <v>3</v>
          </cell>
          <cell r="F73">
            <v>4</v>
          </cell>
          <cell r="G73">
            <v>5</v>
          </cell>
          <cell r="H73">
            <v>6</v>
          </cell>
          <cell r="I73">
            <v>10</v>
          </cell>
          <cell r="J73">
            <v>15</v>
          </cell>
          <cell r="N73">
            <v>3.25</v>
          </cell>
        </row>
        <row r="74">
          <cell r="A74">
            <v>0</v>
          </cell>
          <cell r="B74">
            <v>100</v>
          </cell>
          <cell r="C74">
            <v>100</v>
          </cell>
          <cell r="D74">
            <v>100</v>
          </cell>
          <cell r="E74">
            <v>100</v>
          </cell>
          <cell r="F74">
            <v>100</v>
          </cell>
          <cell r="G74">
            <v>100</v>
          </cell>
          <cell r="H74">
            <v>100</v>
          </cell>
          <cell r="I74">
            <v>100</v>
          </cell>
          <cell r="J74">
            <v>100</v>
          </cell>
          <cell r="M74">
            <v>0</v>
          </cell>
          <cell r="N74">
            <v>1</v>
          </cell>
        </row>
        <row r="75">
          <cell r="A75">
            <v>0.5</v>
          </cell>
          <cell r="B75">
            <v>73.359000000000009</v>
          </cell>
          <cell r="C75">
            <v>77.7</v>
          </cell>
          <cell r="D75">
            <v>81.3</v>
          </cell>
          <cell r="E75">
            <v>83.8</v>
          </cell>
          <cell r="F75">
            <v>85.4</v>
          </cell>
          <cell r="G75">
            <v>86.5</v>
          </cell>
          <cell r="H75">
            <v>87.3</v>
          </cell>
          <cell r="I75">
            <v>89</v>
          </cell>
          <cell r="J75">
            <v>90.3</v>
          </cell>
          <cell r="M75">
            <v>0.5</v>
          </cell>
          <cell r="N75">
            <v>0.76513868718877331</v>
          </cell>
        </row>
        <row r="76">
          <cell r="A76">
            <v>1</v>
          </cell>
          <cell r="B76">
            <v>54.977999999999994</v>
          </cell>
          <cell r="C76">
            <v>61.5</v>
          </cell>
          <cell r="D76">
            <v>66.900000000000006</v>
          </cell>
          <cell r="E76">
            <v>70.7</v>
          </cell>
          <cell r="F76">
            <v>73.099999999999994</v>
          </cell>
          <cell r="G76">
            <v>74.8</v>
          </cell>
          <cell r="H76">
            <v>76</v>
          </cell>
          <cell r="I76">
            <v>79</v>
          </cell>
          <cell r="J76">
            <v>80.599999999999994</v>
          </cell>
          <cell r="M76">
            <v>1</v>
          </cell>
          <cell r="N76">
            <v>0.59756531462200091</v>
          </cell>
        </row>
        <row r="77">
          <cell r="A77">
            <v>2</v>
          </cell>
          <cell r="B77">
            <v>34.046999999999997</v>
          </cell>
          <cell r="C77">
            <v>40.5</v>
          </cell>
          <cell r="D77">
            <v>45.9</v>
          </cell>
          <cell r="E77">
            <v>50.3</v>
          </cell>
          <cell r="F77">
            <v>53.2</v>
          </cell>
          <cell r="G77">
            <v>55.2</v>
          </cell>
          <cell r="H77">
            <v>56.7</v>
          </cell>
          <cell r="I77">
            <v>60</v>
          </cell>
          <cell r="J77">
            <v>61.9</v>
          </cell>
          <cell r="M77">
            <v>2</v>
          </cell>
          <cell r="N77">
            <v>0.40088839746491622</v>
          </cell>
        </row>
        <row r="78">
          <cell r="A78">
            <v>3</v>
          </cell>
          <cell r="B78">
            <v>23.182999999999996</v>
          </cell>
          <cell r="C78">
            <v>27.9</v>
          </cell>
          <cell r="D78">
            <v>31.9</v>
          </cell>
          <cell r="E78">
            <v>35.299999999999997</v>
          </cell>
          <cell r="F78">
            <v>38</v>
          </cell>
          <cell r="G78">
            <v>40</v>
          </cell>
          <cell r="H78">
            <v>41.5</v>
          </cell>
          <cell r="I78">
            <v>45.2</v>
          </cell>
          <cell r="J78">
            <v>47.6</v>
          </cell>
          <cell r="M78">
            <v>3</v>
          </cell>
          <cell r="N78">
            <v>0.29479876414667266</v>
          </cell>
        </row>
        <row r="79">
          <cell r="A79">
            <v>4</v>
          </cell>
          <cell r="B79">
            <v>15.648</v>
          </cell>
          <cell r="C79">
            <v>19.5</v>
          </cell>
          <cell r="D79">
            <v>22.7</v>
          </cell>
          <cell r="E79">
            <v>25.3</v>
          </cell>
          <cell r="F79">
            <v>27.2</v>
          </cell>
          <cell r="G79">
            <v>28.8</v>
          </cell>
          <cell r="H79">
            <v>30.1</v>
          </cell>
          <cell r="I79">
            <v>34</v>
          </cell>
          <cell r="J79">
            <v>37.1</v>
          </cell>
          <cell r="M79">
            <v>4</v>
          </cell>
          <cell r="N79">
            <v>0.21428338614757808</v>
          </cell>
        </row>
        <row r="80">
          <cell r="M80">
            <v>6</v>
          </cell>
          <cell r="N80">
            <v>0.10453303032023727</v>
          </cell>
        </row>
        <row r="81">
          <cell r="M81">
            <v>10</v>
          </cell>
          <cell r="N81">
            <v>2.6550231265586931E-2</v>
          </cell>
        </row>
        <row r="88">
          <cell r="B88">
            <v>0</v>
          </cell>
          <cell r="C88">
            <v>1</v>
          </cell>
          <cell r="D88">
            <v>2</v>
          </cell>
          <cell r="E88">
            <v>3</v>
          </cell>
          <cell r="F88">
            <v>4</v>
          </cell>
          <cell r="G88">
            <v>5</v>
          </cell>
          <cell r="H88">
            <v>6</v>
          </cell>
          <cell r="I88">
            <v>8</v>
          </cell>
          <cell r="N88">
            <v>4.1500000000000004</v>
          </cell>
        </row>
        <row r="89">
          <cell r="A89">
            <v>0</v>
          </cell>
          <cell r="B89">
            <v>100</v>
          </cell>
          <cell r="C89">
            <v>100</v>
          </cell>
          <cell r="D89">
            <v>100</v>
          </cell>
          <cell r="E89">
            <v>100</v>
          </cell>
          <cell r="F89">
            <v>100</v>
          </cell>
          <cell r="G89">
            <v>100</v>
          </cell>
          <cell r="H89">
            <v>100</v>
          </cell>
          <cell r="I89">
            <v>100</v>
          </cell>
          <cell r="M89">
            <v>0</v>
          </cell>
          <cell r="N89">
            <v>1</v>
          </cell>
        </row>
        <row r="90">
          <cell r="A90">
            <v>0.5</v>
          </cell>
          <cell r="B90">
            <v>73.751039999999989</v>
          </cell>
          <cell r="C90">
            <v>77.974000000000004</v>
          </cell>
          <cell r="D90">
            <v>81.451999999999998</v>
          </cell>
          <cell r="E90">
            <v>84.013000000000005</v>
          </cell>
          <cell r="F90">
            <v>85.613</v>
          </cell>
          <cell r="G90">
            <v>86.712999999999994</v>
          </cell>
          <cell r="H90">
            <v>87.491</v>
          </cell>
          <cell r="I90">
            <v>88.468999999999994</v>
          </cell>
          <cell r="M90">
            <v>0.5</v>
          </cell>
          <cell r="N90">
            <v>0.7892501307966705</v>
          </cell>
        </row>
        <row r="91">
          <cell r="A91">
            <v>1</v>
          </cell>
          <cell r="B91">
            <v>55.275919999999992</v>
          </cell>
          <cell r="C91">
            <v>61.555</v>
          </cell>
          <cell r="D91">
            <v>66.706000000000003</v>
          </cell>
          <cell r="E91">
            <v>70.539999999999992</v>
          </cell>
          <cell r="F91">
            <v>72.94</v>
          </cell>
          <cell r="G91">
            <v>74.500999999999991</v>
          </cell>
          <cell r="H91">
            <v>75.700999999999993</v>
          </cell>
          <cell r="I91">
            <v>77.34</v>
          </cell>
          <cell r="M91">
            <v>1</v>
          </cell>
          <cell r="N91">
            <v>0.63163090511296061</v>
          </cell>
        </row>
        <row r="92">
          <cell r="A92">
            <v>2</v>
          </cell>
          <cell r="B92">
            <v>33.250629999999994</v>
          </cell>
          <cell r="C92">
            <v>39.805999999999997</v>
          </cell>
          <cell r="D92">
            <v>45.332999999999998</v>
          </cell>
          <cell r="E92">
            <v>49.271999999999998</v>
          </cell>
          <cell r="F92">
            <v>52.072000000000003</v>
          </cell>
          <cell r="G92">
            <v>54.193999999999996</v>
          </cell>
          <cell r="H92">
            <v>55.816000000000003</v>
          </cell>
          <cell r="I92">
            <v>57.998999999999995</v>
          </cell>
          <cell r="M92">
            <v>2</v>
          </cell>
          <cell r="N92">
            <v>0.43055809833531505</v>
          </cell>
        </row>
        <row r="93">
          <cell r="A93">
            <v>3</v>
          </cell>
          <cell r="B93">
            <v>22.197479999999995</v>
          </cell>
          <cell r="C93">
            <v>26.905999999999999</v>
          </cell>
          <cell r="D93">
            <v>30.927999999999997</v>
          </cell>
          <cell r="E93">
            <v>34.427999999999997</v>
          </cell>
          <cell r="F93">
            <v>36.972000000000001</v>
          </cell>
          <cell r="G93">
            <v>39.055</v>
          </cell>
          <cell r="H93">
            <v>40.637999999999998</v>
          </cell>
          <cell r="I93">
            <v>43.021000000000001</v>
          </cell>
          <cell r="M93">
            <v>3</v>
          </cell>
          <cell r="N93">
            <v>0.32332833531510097</v>
          </cell>
        </row>
        <row r="94">
          <cell r="A94">
            <v>4</v>
          </cell>
          <cell r="B94">
            <v>15.168959999999998</v>
          </cell>
          <cell r="C94">
            <v>18.800999999999998</v>
          </cell>
          <cell r="D94">
            <v>21.800999999999998</v>
          </cell>
          <cell r="E94">
            <v>24.222999999999999</v>
          </cell>
          <cell r="F94">
            <v>26.105999999999998</v>
          </cell>
          <cell r="G94">
            <v>27.827999999999999</v>
          </cell>
          <cell r="H94">
            <v>29.25</v>
          </cell>
          <cell r="I94">
            <v>31.654999999999998</v>
          </cell>
          <cell r="M94">
            <v>4</v>
          </cell>
          <cell r="N94">
            <v>0.24692397431629012</v>
          </cell>
        </row>
        <row r="95">
          <cell r="M95">
            <v>6</v>
          </cell>
          <cell r="N95">
            <v>0.12677630052338418</v>
          </cell>
        </row>
        <row r="96">
          <cell r="M96">
            <v>10</v>
          </cell>
          <cell r="N96">
            <v>3.6134573672675065E-2</v>
          </cell>
        </row>
        <row r="100">
          <cell r="B100">
            <v>0</v>
          </cell>
          <cell r="C100">
            <v>1</v>
          </cell>
          <cell r="D100">
            <v>2</v>
          </cell>
          <cell r="E100">
            <v>3</v>
          </cell>
          <cell r="F100">
            <v>4</v>
          </cell>
          <cell r="G100">
            <v>5</v>
          </cell>
          <cell r="H100">
            <v>6</v>
          </cell>
          <cell r="I100">
            <v>10</v>
          </cell>
          <cell r="J100">
            <v>15</v>
          </cell>
          <cell r="N100">
            <v>4.25</v>
          </cell>
        </row>
        <row r="101">
          <cell r="A101">
            <v>0</v>
          </cell>
          <cell r="B101">
            <v>100</v>
          </cell>
          <cell r="C101">
            <v>100</v>
          </cell>
          <cell r="D101">
            <v>100</v>
          </cell>
          <cell r="E101">
            <v>100</v>
          </cell>
          <cell r="F101">
            <v>100</v>
          </cell>
          <cell r="G101">
            <v>100</v>
          </cell>
          <cell r="H101">
            <v>100</v>
          </cell>
          <cell r="I101">
            <v>100</v>
          </cell>
          <cell r="J101">
            <v>100</v>
          </cell>
          <cell r="M101">
            <v>0</v>
          </cell>
          <cell r="N101">
            <v>1</v>
          </cell>
        </row>
        <row r="102">
          <cell r="A102">
            <v>0.5</v>
          </cell>
          <cell r="B102">
            <v>76.016159999999985</v>
          </cell>
          <cell r="C102">
            <v>80.14</v>
          </cell>
          <cell r="D102">
            <v>83.496000000000009</v>
          </cell>
          <cell r="E102">
            <v>85.935000000000002</v>
          </cell>
          <cell r="F102">
            <v>87.596000000000004</v>
          </cell>
          <cell r="G102">
            <v>88.635000000000005</v>
          </cell>
          <cell r="H102">
            <v>89.373999999999995</v>
          </cell>
          <cell r="I102">
            <v>90.951999999999998</v>
          </cell>
          <cell r="J102">
            <v>92.069000000000003</v>
          </cell>
          <cell r="M102">
            <v>0.5</v>
          </cell>
          <cell r="N102">
            <v>0.79243666263681933</v>
          </cell>
        </row>
        <row r="103">
          <cell r="A103">
            <v>1</v>
          </cell>
          <cell r="B103">
            <v>58.265900000000009</v>
          </cell>
          <cell r="C103">
            <v>64.733000000000004</v>
          </cell>
          <cell r="D103">
            <v>70.010999999999996</v>
          </cell>
          <cell r="E103">
            <v>73.872</v>
          </cell>
          <cell r="F103">
            <v>76.210999999999999</v>
          </cell>
          <cell r="G103">
            <v>77.849999999999994</v>
          </cell>
          <cell r="H103">
            <v>79.05</v>
          </cell>
          <cell r="I103">
            <v>81.927999999999997</v>
          </cell>
          <cell r="J103">
            <v>83.710999999999999</v>
          </cell>
          <cell r="M103">
            <v>1</v>
          </cell>
          <cell r="N103">
            <v>0.63265057439446393</v>
          </cell>
        </row>
        <row r="104">
          <cell r="A104">
            <v>2</v>
          </cell>
          <cell r="B104">
            <v>37.47885999999999</v>
          </cell>
          <cell r="C104">
            <v>44.037999999999997</v>
          </cell>
          <cell r="D104">
            <v>49.438000000000002</v>
          </cell>
          <cell r="E104">
            <v>53.959999999999994</v>
          </cell>
          <cell r="F104">
            <v>56.920999999999999</v>
          </cell>
          <cell r="G104">
            <v>59.103999999999999</v>
          </cell>
          <cell r="H104">
            <v>60.786999999999999</v>
          </cell>
          <cell r="I104">
            <v>64.51400000000001</v>
          </cell>
          <cell r="J104">
            <v>66.902000000000001</v>
          </cell>
          <cell r="M104">
            <v>2</v>
          </cell>
          <cell r="N104">
            <v>0.44042490591059935</v>
          </cell>
        </row>
        <row r="105">
          <cell r="A105">
            <v>3</v>
          </cell>
          <cell r="B105">
            <v>25.786479999999997</v>
          </cell>
          <cell r="C105">
            <v>30.888999999999996</v>
          </cell>
          <cell r="D105">
            <v>35.193999999999996</v>
          </cell>
          <cell r="E105">
            <v>39.021000000000001</v>
          </cell>
          <cell r="F105">
            <v>41.903999999999996</v>
          </cell>
          <cell r="G105">
            <v>44.087000000000003</v>
          </cell>
          <cell r="H105">
            <v>45.831000000000003</v>
          </cell>
          <cell r="I105">
            <v>50.262999999999998</v>
          </cell>
          <cell r="J105">
            <v>53.09</v>
          </cell>
          <cell r="M105">
            <v>3</v>
          </cell>
          <cell r="N105">
            <v>0.32696987139326311</v>
          </cell>
        </row>
        <row r="106">
          <cell r="A106">
            <v>4</v>
          </cell>
          <cell r="B106">
            <v>18.107520000000001</v>
          </cell>
          <cell r="C106">
            <v>22.367000000000001</v>
          </cell>
          <cell r="D106">
            <v>25.872</v>
          </cell>
          <cell r="E106">
            <v>28.594000000000001</v>
          </cell>
          <cell r="F106">
            <v>30.798999999999999</v>
          </cell>
          <cell r="G106">
            <v>32.704000000000001</v>
          </cell>
          <cell r="H106">
            <v>34.247999999999998</v>
          </cell>
          <cell r="I106">
            <v>38.819000000000003</v>
          </cell>
          <cell r="J106">
            <v>41.980000000000004</v>
          </cell>
          <cell r="M106">
            <v>4</v>
          </cell>
          <cell r="N106">
            <v>0.24705557087776289</v>
          </cell>
        </row>
        <row r="107">
          <cell r="M107">
            <v>6</v>
          </cell>
          <cell r="N107">
            <v>0.12736673143377636</v>
          </cell>
        </row>
        <row r="108">
          <cell r="M108">
            <v>10</v>
          </cell>
          <cell r="N108">
            <v>3.6098260173388998E-2</v>
          </cell>
        </row>
        <row r="115">
          <cell r="B115">
            <v>0</v>
          </cell>
          <cell r="C115">
            <v>1</v>
          </cell>
          <cell r="D115">
            <v>2</v>
          </cell>
          <cell r="E115">
            <v>3</v>
          </cell>
          <cell r="F115">
            <v>4</v>
          </cell>
          <cell r="G115">
            <v>5</v>
          </cell>
          <cell r="H115">
            <v>6</v>
          </cell>
          <cell r="I115">
            <v>8</v>
          </cell>
          <cell r="N115">
            <v>5.15</v>
          </cell>
        </row>
        <row r="116">
          <cell r="A116">
            <v>0</v>
          </cell>
          <cell r="B116">
            <v>100</v>
          </cell>
          <cell r="C116">
            <v>100</v>
          </cell>
          <cell r="D116">
            <v>100</v>
          </cell>
          <cell r="E116">
            <v>100</v>
          </cell>
          <cell r="F116">
            <v>100</v>
          </cell>
          <cell r="G116">
            <v>100</v>
          </cell>
          <cell r="H116">
            <v>100</v>
          </cell>
          <cell r="I116">
            <v>100</v>
          </cell>
          <cell r="M116">
            <v>0</v>
          </cell>
          <cell r="N116">
            <v>1</v>
          </cell>
        </row>
        <row r="117">
          <cell r="A117">
            <v>0.5</v>
          </cell>
          <cell r="B117">
            <v>77.714999999999989</v>
          </cell>
          <cell r="C117">
            <v>81.599999999999994</v>
          </cell>
          <cell r="D117">
            <v>84.7</v>
          </cell>
          <cell r="E117">
            <v>86.9</v>
          </cell>
          <cell r="F117">
            <v>88.3</v>
          </cell>
          <cell r="G117">
            <v>89.3</v>
          </cell>
          <cell r="H117">
            <v>90</v>
          </cell>
          <cell r="I117">
            <v>90.9</v>
          </cell>
          <cell r="M117">
            <v>0.5</v>
          </cell>
          <cell r="N117">
            <v>0.83167063020214016</v>
          </cell>
        </row>
        <row r="118">
          <cell r="A118">
            <v>1</v>
          </cell>
          <cell r="B118">
            <v>61.936000000000007</v>
          </cell>
          <cell r="C118">
            <v>67.5</v>
          </cell>
          <cell r="D118">
            <v>71.8</v>
          </cell>
          <cell r="E118">
            <v>74.900000000000006</v>
          </cell>
          <cell r="F118">
            <v>77.099999999999994</v>
          </cell>
          <cell r="G118">
            <v>78.7</v>
          </cell>
          <cell r="H118">
            <v>79.8</v>
          </cell>
          <cell r="I118">
            <v>81.400000000000006</v>
          </cell>
          <cell r="M118">
            <v>1</v>
          </cell>
          <cell r="N118">
            <v>0.70773479191438771</v>
          </cell>
        </row>
        <row r="119">
          <cell r="A119">
            <v>2</v>
          </cell>
          <cell r="B119">
            <v>40.072499999999991</v>
          </cell>
          <cell r="C119">
            <v>45.8</v>
          </cell>
          <cell r="D119">
            <v>50.5</v>
          </cell>
          <cell r="E119">
            <v>54.4</v>
          </cell>
          <cell r="F119">
            <v>57.3</v>
          </cell>
          <cell r="G119">
            <v>59.4</v>
          </cell>
          <cell r="H119">
            <v>61.1</v>
          </cell>
          <cell r="I119">
            <v>63.6</v>
          </cell>
          <cell r="M119">
            <v>2</v>
          </cell>
          <cell r="N119">
            <v>0.51889360879904867</v>
          </cell>
        </row>
        <row r="120">
          <cell r="A120">
            <v>3</v>
          </cell>
          <cell r="B120">
            <v>24.192</v>
          </cell>
          <cell r="C120">
            <v>30</v>
          </cell>
          <cell r="D120">
            <v>34.799999999999997</v>
          </cell>
          <cell r="E120">
            <v>39.299999999999997</v>
          </cell>
          <cell r="F120">
            <v>42</v>
          </cell>
          <cell r="G120">
            <v>44.1</v>
          </cell>
          <cell r="H120">
            <v>46</v>
          </cell>
          <cell r="I120">
            <v>49.1</v>
          </cell>
          <cell r="M120">
            <v>3</v>
          </cell>
          <cell r="N120">
            <v>0.35238049940546973</v>
          </cell>
        </row>
        <row r="121">
          <cell r="A121">
            <v>4</v>
          </cell>
          <cell r="B121">
            <v>17.568000000000001</v>
          </cell>
          <cell r="C121">
            <v>22</v>
          </cell>
          <cell r="D121">
            <v>25.7</v>
          </cell>
          <cell r="E121">
            <v>28.7</v>
          </cell>
          <cell r="F121">
            <v>30.9</v>
          </cell>
          <cell r="G121">
            <v>32.9</v>
          </cell>
          <cell r="H121">
            <v>34.700000000000003</v>
          </cell>
          <cell r="I121">
            <v>37.6</v>
          </cell>
          <cell r="M121">
            <v>4</v>
          </cell>
          <cell r="N121">
            <v>0.28597612366230679</v>
          </cell>
        </row>
        <row r="122">
          <cell r="M122">
            <v>6</v>
          </cell>
          <cell r="N122">
            <v>0.14478548022092205</v>
          </cell>
        </row>
        <row r="123">
          <cell r="M123">
            <v>10</v>
          </cell>
          <cell r="N123">
            <v>4.1244847186383056E-2</v>
          </cell>
        </row>
        <row r="127">
          <cell r="B127">
            <v>0</v>
          </cell>
          <cell r="C127">
            <v>1</v>
          </cell>
          <cell r="D127">
            <v>2</v>
          </cell>
          <cell r="E127">
            <v>3</v>
          </cell>
          <cell r="F127">
            <v>4</v>
          </cell>
          <cell r="G127">
            <v>5</v>
          </cell>
          <cell r="H127">
            <v>6</v>
          </cell>
          <cell r="I127">
            <v>10</v>
          </cell>
          <cell r="J127">
            <v>15</v>
          </cell>
          <cell r="N127">
            <v>5.25</v>
          </cell>
        </row>
        <row r="128">
          <cell r="A128">
            <v>0</v>
          </cell>
          <cell r="B128">
            <v>100</v>
          </cell>
          <cell r="C128">
            <v>100</v>
          </cell>
          <cell r="D128">
            <v>100</v>
          </cell>
          <cell r="E128">
            <v>100</v>
          </cell>
          <cell r="F128">
            <v>100</v>
          </cell>
          <cell r="G128">
            <v>100</v>
          </cell>
          <cell r="H128">
            <v>100</v>
          </cell>
          <cell r="I128">
            <v>100</v>
          </cell>
          <cell r="J128">
            <v>100</v>
          </cell>
          <cell r="M128">
            <v>0</v>
          </cell>
          <cell r="N128">
            <v>1</v>
          </cell>
        </row>
        <row r="129">
          <cell r="A129">
            <v>0.5</v>
          </cell>
          <cell r="B129">
            <v>79.992000000000004</v>
          </cell>
          <cell r="C129">
            <v>83.9</v>
          </cell>
          <cell r="D129">
            <v>87</v>
          </cell>
          <cell r="E129">
            <v>89.1</v>
          </cell>
          <cell r="F129">
            <v>90.4</v>
          </cell>
          <cell r="G129">
            <v>91.4</v>
          </cell>
          <cell r="H129">
            <v>92.1</v>
          </cell>
          <cell r="I129">
            <v>93.4</v>
          </cell>
          <cell r="J129">
            <v>94.5</v>
          </cell>
          <cell r="M129">
            <v>0.5</v>
          </cell>
          <cell r="N129">
            <v>0.83388313113480672</v>
          </cell>
        </row>
        <row r="130">
          <cell r="A130">
            <v>1</v>
          </cell>
          <cell r="B130">
            <v>64.448999999999998</v>
          </cell>
          <cell r="C130">
            <v>70.099999999999994</v>
          </cell>
          <cell r="D130">
            <v>75.099999999999994</v>
          </cell>
          <cell r="E130">
            <v>78.7</v>
          </cell>
          <cell r="F130">
            <v>80.8</v>
          </cell>
          <cell r="G130">
            <v>82.3</v>
          </cell>
          <cell r="H130">
            <v>83.5</v>
          </cell>
          <cell r="I130">
            <v>86.3</v>
          </cell>
          <cell r="J130">
            <v>88.1</v>
          </cell>
          <cell r="M130">
            <v>1</v>
          </cell>
          <cell r="N130">
            <v>0.69978661393969344</v>
          </cell>
        </row>
        <row r="131">
          <cell r="A131">
            <v>2</v>
          </cell>
          <cell r="B131">
            <v>44.49199999999999</v>
          </cell>
          <cell r="C131">
            <v>50.5</v>
          </cell>
          <cell r="D131">
            <v>55.6</v>
          </cell>
          <cell r="E131">
            <v>59.5</v>
          </cell>
          <cell r="F131">
            <v>62.6</v>
          </cell>
          <cell r="G131">
            <v>65</v>
          </cell>
          <cell r="H131">
            <v>66.900000000000006</v>
          </cell>
          <cell r="I131">
            <v>71.900000000000006</v>
          </cell>
          <cell r="J131">
            <v>75.5</v>
          </cell>
          <cell r="M131">
            <v>2</v>
          </cell>
          <cell r="N131">
            <v>0.52283833910034583</v>
          </cell>
        </row>
        <row r="132">
          <cell r="A132">
            <v>3</v>
          </cell>
          <cell r="B132">
            <v>30.87</v>
          </cell>
          <cell r="C132">
            <v>36</v>
          </cell>
          <cell r="D132">
            <v>40.5</v>
          </cell>
          <cell r="E132">
            <v>45.1</v>
          </cell>
          <cell r="F132">
            <v>48</v>
          </cell>
          <cell r="G132">
            <v>50.5</v>
          </cell>
          <cell r="H132">
            <v>52.4</v>
          </cell>
          <cell r="I132">
            <v>58.8</v>
          </cell>
          <cell r="J132">
            <v>63</v>
          </cell>
          <cell r="M132">
            <v>3</v>
          </cell>
          <cell r="N132">
            <v>0.39142837370242212</v>
          </cell>
        </row>
        <row r="133">
          <cell r="A133">
            <v>4</v>
          </cell>
          <cell r="B133">
            <v>21.921999999999997</v>
          </cell>
          <cell r="C133">
            <v>26.7</v>
          </cell>
          <cell r="D133">
            <v>30.8</v>
          </cell>
          <cell r="E133">
            <v>34.1</v>
          </cell>
          <cell r="F133">
            <v>36.700000000000003</v>
          </cell>
          <cell r="G133">
            <v>39</v>
          </cell>
          <cell r="H133">
            <v>40.9</v>
          </cell>
          <cell r="I133">
            <v>46.9</v>
          </cell>
          <cell r="J133">
            <v>51.4</v>
          </cell>
          <cell r="M133">
            <v>4</v>
          </cell>
          <cell r="N133">
            <v>0.2990996130216792</v>
          </cell>
        </row>
        <row r="134">
          <cell r="M134">
            <v>6</v>
          </cell>
          <cell r="N134">
            <v>0.16496027386798567</v>
          </cell>
        </row>
        <row r="135">
          <cell r="M135">
            <v>10</v>
          </cell>
          <cell r="N135">
            <v>5.2279642751335495E-2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"/>
  <sheetViews>
    <sheetView tabSelected="1" zoomScaleNormal="100" workbookViewId="0">
      <selection activeCell="A3" sqref="A3"/>
    </sheetView>
  </sheetViews>
  <sheetFormatPr defaultRowHeight="14.25" x14ac:dyDescent="0.2"/>
  <cols>
    <col min="1" max="1" width="5.28515625" style="1" customWidth="1"/>
    <col min="2" max="16384" width="9.140625" style="1"/>
  </cols>
  <sheetData>
    <row r="2" spans="1:1" ht="18" x14ac:dyDescent="0.25">
      <c r="A2" s="2" t="s">
        <v>48</v>
      </c>
    </row>
  </sheetData>
  <sheetProtection sheet="1" objects="1" scenarios="1"/>
  <pageMargins left="1.299212598425197" right="0.31496062992125984" top="1.3385826771653544" bottom="0.74803149606299213" header="0.51181102362204722" footer="0.31496062992125984"/>
  <pageSetup paperSize="9" orientation="portrait" r:id="rId1"/>
  <headerFooter>
    <oddHeader xml:space="preserve">&amp;L&amp;"Arial Rounded MT Bold,Regular"&amp;K4D4D4D
&amp;14&amp;K660033Andrew Love Cancer Centre&amp;"-,Regular"&amp;11&amp;K01+000
&amp;"Arial Rounded MT Bold,Regular"&amp;12&amp;K4D4D4DSuperficial RT&amp;"-,Regular"&amp;11&amp;K01+000
</oddHeader>
    <oddFooter>&amp;L&amp;"Arial Rounded MT Bold,Regular"&amp;K4D4D4DF. Nelli 12-8-2015&amp;Rpage &amp;P of &amp;N</oddFooter>
  </headerFooter>
  <colBreaks count="1" manualBreakCount="1">
    <brk id="10" max="39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44"/>
  <sheetViews>
    <sheetView zoomScaleNormal="100" workbookViewId="0">
      <selection activeCell="A2" sqref="A2"/>
    </sheetView>
  </sheetViews>
  <sheetFormatPr defaultRowHeight="14.25" x14ac:dyDescent="0.2"/>
  <cols>
    <col min="1" max="1" width="5.28515625" style="1" customWidth="1"/>
    <col min="2" max="16384" width="9.140625" style="1"/>
  </cols>
  <sheetData>
    <row r="1" spans="1:7" ht="18" x14ac:dyDescent="0.25">
      <c r="A1" s="2" t="s">
        <v>63</v>
      </c>
    </row>
    <row r="2" spans="1:7" ht="18" x14ac:dyDescent="0.25">
      <c r="A2" s="2"/>
    </row>
    <row r="3" spans="1:7" ht="18" x14ac:dyDescent="0.25">
      <c r="A3" s="2" t="s">
        <v>0</v>
      </c>
    </row>
    <row r="5" spans="1:7" ht="21" x14ac:dyDescent="0.35">
      <c r="A5" s="2" t="s">
        <v>1</v>
      </c>
    </row>
    <row r="6" spans="1:7" ht="15" thickBot="1" x14ac:dyDescent="0.25"/>
    <row r="7" spans="1:7" ht="15.75" thickBot="1" x14ac:dyDescent="0.3">
      <c r="C7" s="194" t="s">
        <v>2</v>
      </c>
      <c r="D7" s="195"/>
      <c r="E7" s="195"/>
      <c r="F7" s="195"/>
      <c r="G7" s="196"/>
    </row>
    <row r="8" spans="1:7" ht="15" x14ac:dyDescent="0.25">
      <c r="C8" s="122" t="s">
        <v>3</v>
      </c>
      <c r="D8" s="126" t="s">
        <v>4</v>
      </c>
      <c r="E8" s="124" t="s">
        <v>5</v>
      </c>
      <c r="F8" s="128" t="s">
        <v>6</v>
      </c>
      <c r="G8" s="130" t="s">
        <v>7</v>
      </c>
    </row>
    <row r="9" spans="1:7" ht="15" thickBot="1" x14ac:dyDescent="0.25">
      <c r="C9" s="188" t="s">
        <v>65</v>
      </c>
      <c r="D9" s="189" t="s">
        <v>66</v>
      </c>
      <c r="E9" s="190" t="s">
        <v>67</v>
      </c>
      <c r="F9" s="191" t="s">
        <v>68</v>
      </c>
      <c r="G9" s="192" t="s">
        <v>69</v>
      </c>
    </row>
    <row r="10" spans="1:7" ht="15" x14ac:dyDescent="0.25">
      <c r="A10" s="197" t="s">
        <v>8</v>
      </c>
      <c r="B10" s="131" t="s">
        <v>9</v>
      </c>
      <c r="C10" s="3">
        <f>[2]Xstrahl_AbsDosim_FINAL!C45</f>
        <v>6.5325785259885105</v>
      </c>
      <c r="D10" s="3">
        <f>[2]Xstrahl_AbsDosim_FINAL!D45</f>
        <v>3.3198543496062425</v>
      </c>
      <c r="E10" s="3">
        <f>[2]Xstrahl_AbsDosim_FINAL!E45</f>
        <v>3.5405765025635274</v>
      </c>
      <c r="F10" s="3">
        <f>[2]Xstrahl_AbsDosim_FINAL!F45</f>
        <v>4.069409230604494</v>
      </c>
      <c r="G10" s="3">
        <f>[2]Xstrahl_AbsDosim_FINAL!G45</f>
        <v>2.9266451840753058</v>
      </c>
    </row>
    <row r="11" spans="1:7" ht="15" x14ac:dyDescent="0.25">
      <c r="A11" s="198"/>
      <c r="B11" s="132" t="s">
        <v>10</v>
      </c>
      <c r="C11" s="3">
        <f>[2]Xstrahl_AbsDosim_FINAL!C46</f>
        <v>6.5987234076830195</v>
      </c>
      <c r="D11" s="3">
        <f>[2]Xstrahl_AbsDosim_FINAL!D46</f>
        <v>3.4196826040366322</v>
      </c>
      <c r="E11" s="3">
        <f>[2]Xstrahl_AbsDosim_FINAL!E46</f>
        <v>3.6863169899006372</v>
      </c>
      <c r="F11" s="3">
        <f>[2]Xstrahl_AbsDosim_FINAL!F46</f>
        <v>4.2728416952585375</v>
      </c>
      <c r="G11" s="3">
        <f>[2]Xstrahl_AbsDosim_FINAL!G46</f>
        <v>3.076541869983378</v>
      </c>
    </row>
    <row r="12" spans="1:7" ht="15" x14ac:dyDescent="0.25">
      <c r="A12" s="198"/>
      <c r="B12" s="132" t="s">
        <v>11</v>
      </c>
      <c r="C12" s="3">
        <f>[2]Xstrahl_AbsDosim_FINAL!C47</f>
        <v>6.6322247599874089</v>
      </c>
      <c r="D12" s="3">
        <f>[2]Xstrahl_AbsDosim_FINAL!D47</f>
        <v>3.4473137426469247</v>
      </c>
      <c r="E12" s="3">
        <f>[2]Xstrahl_AbsDosim_FINAL!E47</f>
        <v>3.719657625421632</v>
      </c>
      <c r="F12" s="3">
        <f>[2]Xstrahl_AbsDosim_FINAL!F47</f>
        <v>4.2818679773837491</v>
      </c>
      <c r="G12" s="3">
        <f>[2]Xstrahl_AbsDosim_FINAL!G47</f>
        <v>3.067961292076586</v>
      </c>
    </row>
    <row r="13" spans="1:7" ht="15" x14ac:dyDescent="0.25">
      <c r="A13" s="198"/>
      <c r="B13" s="132" t="s">
        <v>12</v>
      </c>
      <c r="C13" s="3">
        <f>[2]Xstrahl_AbsDosim_FINAL!C48</f>
        <v>6.6277513089069933</v>
      </c>
      <c r="D13" s="3">
        <f>[2]Xstrahl_AbsDosim_FINAL!D48</f>
        <v>3.4552869519307556</v>
      </c>
      <c r="E13" s="3">
        <f>[2]Xstrahl_AbsDosim_FINAL!E48</f>
        <v>3.738813136940863</v>
      </c>
      <c r="F13" s="3">
        <f>[2]Xstrahl_AbsDosim_FINAL!F48</f>
        <v>4.2947515544941712</v>
      </c>
      <c r="G13" s="3">
        <f>[2]Xstrahl_AbsDosim_FINAL!G48</f>
        <v>3.080688388618833</v>
      </c>
    </row>
    <row r="14" spans="1:7" ht="15" x14ac:dyDescent="0.25">
      <c r="A14" s="198"/>
      <c r="B14" s="132" t="s">
        <v>13</v>
      </c>
      <c r="C14" s="3">
        <f>[2]Xstrahl_AbsDosim_FINAL!C49</f>
        <v>2.2781901128754578</v>
      </c>
      <c r="D14" s="3">
        <f>[2]Xstrahl_AbsDosim_FINAL!D49</f>
        <v>1.2250515115118765</v>
      </c>
      <c r="E14" s="3">
        <f>[2]Xstrahl_AbsDosim_FINAL!E49</f>
        <v>1.3271251244713549</v>
      </c>
      <c r="F14" s="3">
        <f>[2]Xstrahl_AbsDosim_FINAL!F49</f>
        <v>1.5276633522364715</v>
      </c>
      <c r="G14" s="3">
        <f>[2]Xstrahl_AbsDosim_FINAL!G49</f>
        <v>1.0976334363649396</v>
      </c>
    </row>
    <row r="15" spans="1:7" ht="15.75" thickBot="1" x14ac:dyDescent="0.3">
      <c r="A15" s="199"/>
      <c r="B15" s="133" t="s">
        <v>14</v>
      </c>
      <c r="C15" s="3">
        <f>[2]Xstrahl_AbsDosim_FINAL!C50</f>
        <v>2.2819336672638628</v>
      </c>
      <c r="D15" s="3">
        <f>[2]Xstrahl_AbsDosim_FINAL!D50</f>
        <v>1.2304929907366615</v>
      </c>
      <c r="E15" s="3">
        <f>[2]Xstrahl_AbsDosim_FINAL!E50</f>
        <v>1.3265210897815913</v>
      </c>
      <c r="F15" s="3">
        <f>[2]Xstrahl_AbsDosim_FINAL!F50</f>
        <v>1.5216557579759284</v>
      </c>
      <c r="G15" s="3">
        <f>[2]Xstrahl_AbsDosim_FINAL!G50</f>
        <v>1.0931142493765187</v>
      </c>
    </row>
    <row r="18" spans="1:7" ht="21" x14ac:dyDescent="0.35">
      <c r="A18" s="4" t="s">
        <v>47</v>
      </c>
      <c r="B18" s="5"/>
    </row>
    <row r="19" spans="1:7" ht="15" thickBot="1" x14ac:dyDescent="0.25"/>
    <row r="20" spans="1:7" ht="15.75" thickBot="1" x14ac:dyDescent="0.3">
      <c r="C20" s="194" t="s">
        <v>2</v>
      </c>
      <c r="D20" s="195"/>
      <c r="E20" s="195"/>
      <c r="F20" s="195"/>
      <c r="G20" s="196"/>
    </row>
    <row r="21" spans="1:7" ht="15.75" thickBot="1" x14ac:dyDescent="0.3">
      <c r="C21" s="122" t="s">
        <v>3</v>
      </c>
      <c r="D21" s="126" t="s">
        <v>4</v>
      </c>
      <c r="E21" s="124" t="s">
        <v>5</v>
      </c>
      <c r="F21" s="128" t="s">
        <v>6</v>
      </c>
      <c r="G21" s="130" t="s">
        <v>7</v>
      </c>
    </row>
    <row r="22" spans="1:7" ht="19.5" thickBot="1" x14ac:dyDescent="0.4">
      <c r="A22" s="200" t="s">
        <v>15</v>
      </c>
      <c r="B22" s="200"/>
      <c r="C22" s="6">
        <f>[2]Xstrahl_AbsDosim_FINAL!C$14</f>
        <v>1.5112783163715874E-3</v>
      </c>
      <c r="D22" s="7">
        <f>[2]Xstrahl_AbsDosim_FINAL!D$14</f>
        <v>4.4327580822263799E-4</v>
      </c>
      <c r="E22" s="7">
        <f>[2]Xstrahl_AbsDosim_FINAL!E$14</f>
        <v>1.391633499397801E-4</v>
      </c>
      <c r="F22" s="7">
        <f>[2]Xstrahl_AbsDosim_FINAL!F$14</f>
        <v>-4.6417452962293435E-4</v>
      </c>
      <c r="G22" s="8">
        <f>[2]Xstrahl_AbsDosim_FINAL!G$14</f>
        <v>-5.1306074193043665E-4</v>
      </c>
    </row>
    <row r="25" spans="1:7" ht="18" x14ac:dyDescent="0.25">
      <c r="A25" s="4" t="s">
        <v>16</v>
      </c>
      <c r="B25" s="5"/>
    </row>
    <row r="26" spans="1:7" ht="15" thickBot="1" x14ac:dyDescent="0.25"/>
    <row r="27" spans="1:7" ht="15.75" thickBot="1" x14ac:dyDescent="0.3">
      <c r="C27" s="194" t="s">
        <v>2</v>
      </c>
      <c r="D27" s="195"/>
      <c r="E27" s="195"/>
      <c r="F27" s="195"/>
      <c r="G27" s="196"/>
    </row>
    <row r="28" spans="1:7" ht="15.75" thickBot="1" x14ac:dyDescent="0.3">
      <c r="C28" s="122" t="s">
        <v>3</v>
      </c>
      <c r="D28" s="126" t="s">
        <v>4</v>
      </c>
      <c r="E28" s="124" t="s">
        <v>5</v>
      </c>
      <c r="F28" s="128" t="s">
        <v>6</v>
      </c>
      <c r="G28" s="130" t="s">
        <v>7</v>
      </c>
    </row>
    <row r="29" spans="1:7" ht="18.75" x14ac:dyDescent="0.35">
      <c r="A29" s="200" t="s">
        <v>17</v>
      </c>
      <c r="B29" s="200"/>
      <c r="C29" s="83">
        <f>'[3]HVL-final results'!B$8</f>
        <v>0.19153463596821266</v>
      </c>
      <c r="D29" s="84">
        <f>'[3]HVL-final results'!C$8</f>
        <v>0.81143768071028854</v>
      </c>
      <c r="E29" s="84">
        <f>'[3]HVL-final results'!D$8</f>
        <v>2.0119459896403291</v>
      </c>
      <c r="F29" s="84">
        <f>'[3]HVL-final results'!E$8</f>
        <v>2.6055254817837485</v>
      </c>
      <c r="G29" s="85">
        <f>'[3]HVL-final results'!F$8</f>
        <v>4.0227103723161859</v>
      </c>
    </row>
    <row r="30" spans="1:7" ht="15" thickBot="1" x14ac:dyDescent="0.25">
      <c r="A30" s="193" t="s">
        <v>18</v>
      </c>
      <c r="B30" s="193"/>
      <c r="C30" s="9">
        <v>30</v>
      </c>
      <c r="D30" s="10">
        <v>50</v>
      </c>
      <c r="E30" s="10">
        <v>80</v>
      </c>
      <c r="F30" s="10">
        <v>95</v>
      </c>
      <c r="G30" s="11">
        <v>100</v>
      </c>
    </row>
    <row r="33" spans="1:7" ht="21" x14ac:dyDescent="0.35">
      <c r="A33" s="4" t="s">
        <v>19</v>
      </c>
      <c r="B33" s="5"/>
    </row>
    <row r="34" spans="1:7" ht="15" thickBot="1" x14ac:dyDescent="0.25"/>
    <row r="35" spans="1:7" ht="15.75" thickBot="1" x14ac:dyDescent="0.3">
      <c r="C35" s="194" t="s">
        <v>2</v>
      </c>
      <c r="D35" s="195"/>
      <c r="E35" s="195"/>
      <c r="F35" s="195"/>
      <c r="G35" s="196"/>
    </row>
    <row r="36" spans="1:7" ht="15.75" thickBot="1" x14ac:dyDescent="0.3">
      <c r="C36" s="121" t="s">
        <v>3</v>
      </c>
      <c r="D36" s="125" t="s">
        <v>4</v>
      </c>
      <c r="E36" s="123" t="s">
        <v>5</v>
      </c>
      <c r="F36" s="127" t="s">
        <v>6</v>
      </c>
      <c r="G36" s="129" t="s">
        <v>7</v>
      </c>
    </row>
    <row r="37" spans="1:7" ht="15" x14ac:dyDescent="0.25">
      <c r="A37" s="197" t="s">
        <v>8</v>
      </c>
      <c r="B37" s="131" t="s">
        <v>9</v>
      </c>
      <c r="C37" s="12">
        <f>[2]Sheet1!C4</f>
        <v>14</v>
      </c>
      <c r="D37" s="13">
        <f>[2]Sheet1!D4</f>
        <v>14</v>
      </c>
      <c r="E37" s="13">
        <f>[2]Sheet1!E4</f>
        <v>14</v>
      </c>
      <c r="F37" s="13">
        <f>[2]Sheet1!F4</f>
        <v>14</v>
      </c>
      <c r="G37" s="14">
        <f>[2]Sheet1!G4</f>
        <v>14</v>
      </c>
    </row>
    <row r="38" spans="1:7" ht="15" x14ac:dyDescent="0.25">
      <c r="A38" s="198"/>
      <c r="B38" s="132" t="s">
        <v>10</v>
      </c>
      <c r="C38" s="15">
        <f>[2]Sheet1!C5</f>
        <v>14.253587167264458</v>
      </c>
      <c r="D38" s="16">
        <f>[2]Sheet1!D5</f>
        <v>14.309634446696885</v>
      </c>
      <c r="E38" s="16">
        <f>[2]Sheet1!E5</f>
        <v>14.194462368503165</v>
      </c>
      <c r="F38" s="16">
        <f>[2]Sheet1!F5</f>
        <v>14.159640080769908</v>
      </c>
      <c r="G38" s="17">
        <f>[2]Sheet1!G5</f>
        <v>14.061106160666185</v>
      </c>
    </row>
    <row r="39" spans="1:7" ht="15" x14ac:dyDescent="0.25">
      <c r="A39" s="198"/>
      <c r="B39" s="132" t="s">
        <v>11</v>
      </c>
      <c r="C39" s="15">
        <f>[2]Sheet1!C6</f>
        <v>14.722499496788256</v>
      </c>
      <c r="D39" s="16">
        <f>[2]Sheet1!D6</f>
        <v>14.722499496788256</v>
      </c>
      <c r="E39" s="16">
        <f>[2]Sheet1!E6</f>
        <v>14.722499496788256</v>
      </c>
      <c r="F39" s="16">
        <f>[2]Sheet1!F6</f>
        <v>14.62707870795985</v>
      </c>
      <c r="G39" s="17">
        <f>[2]Sheet1!G6</f>
        <v>14.62707870795985</v>
      </c>
    </row>
    <row r="40" spans="1:7" ht="15" x14ac:dyDescent="0.25">
      <c r="A40" s="198"/>
      <c r="B40" s="132" t="s">
        <v>12</v>
      </c>
      <c r="C40" s="15">
        <f>[2]Sheet1!C7</f>
        <v>14.932052199081875</v>
      </c>
      <c r="D40" s="16">
        <f>[2]Sheet1!D7</f>
        <v>14.943819651041721</v>
      </c>
      <c r="E40" s="16">
        <f>[2]Sheet1!E7</f>
        <v>14.943819651041721</v>
      </c>
      <c r="F40" s="16">
        <f>[2]Sheet1!F7</f>
        <v>14.463298881617698</v>
      </c>
      <c r="G40" s="17">
        <f>[2]Sheet1!G7</f>
        <v>14.463298881617698</v>
      </c>
    </row>
    <row r="41" spans="1:7" ht="15" x14ac:dyDescent="0.25">
      <c r="A41" s="198"/>
      <c r="B41" s="132" t="s">
        <v>13</v>
      </c>
      <c r="C41" s="15">
        <f>[2]Sheet1!C8</f>
        <v>23.45926536638261</v>
      </c>
      <c r="D41" s="16">
        <f>[2]Sheet1!D8</f>
        <v>23.45926536638261</v>
      </c>
      <c r="E41" s="16">
        <f>[2]Sheet1!E8</f>
        <v>23.45926536638261</v>
      </c>
      <c r="F41" s="16">
        <f>[2]Sheet1!F8</f>
        <v>23.829089878121238</v>
      </c>
      <c r="G41" s="17">
        <f>[2]Sheet1!G8</f>
        <v>23.829089878121238</v>
      </c>
    </row>
    <row r="42" spans="1:7" ht="15.75" thickBot="1" x14ac:dyDescent="0.3">
      <c r="A42" s="199"/>
      <c r="B42" s="133" t="s">
        <v>14</v>
      </c>
      <c r="C42" s="18">
        <f>[2]Sheet1!C9</f>
        <v>23.45926536638261</v>
      </c>
      <c r="D42" s="19">
        <f>[2]Sheet1!D9</f>
        <v>23.45926536638261</v>
      </c>
      <c r="E42" s="19">
        <f>[2]Sheet1!E9</f>
        <v>23.45926536638261</v>
      </c>
      <c r="F42" s="19">
        <f>[2]Sheet1!F9</f>
        <v>23.829089878121238</v>
      </c>
      <c r="G42" s="20">
        <f>[2]Sheet1!G9</f>
        <v>23.829089878121238</v>
      </c>
    </row>
    <row r="44" spans="1:7" x14ac:dyDescent="0.2">
      <c r="A44" s="79" t="s">
        <v>46</v>
      </c>
    </row>
  </sheetData>
  <sheetProtection sheet="1" objects="1" scenarios="1"/>
  <mergeCells count="9">
    <mergeCell ref="A30:B30"/>
    <mergeCell ref="C35:G35"/>
    <mergeCell ref="A37:A42"/>
    <mergeCell ref="C7:G7"/>
    <mergeCell ref="A10:A15"/>
    <mergeCell ref="C20:G20"/>
    <mergeCell ref="A22:B22"/>
    <mergeCell ref="C27:G27"/>
    <mergeCell ref="A29:B29"/>
  </mergeCells>
  <pageMargins left="1.299212598425197" right="0.31496062992125984" top="1.3385826771653544" bottom="0.74803149606299213" header="0.51181102362204722" footer="0.31496062992125984"/>
  <pageSetup paperSize="9" orientation="portrait" r:id="rId1"/>
  <headerFooter>
    <oddHeader xml:space="preserve">&amp;L&amp;"Arial Rounded MT Bold,Regular"&amp;K4D4D4D
&amp;14&amp;K660033Andrew Love Cancer Centre&amp;"-,Regular"&amp;11&amp;K01+000
&amp;"Arial Rounded MT Bold,Regular"&amp;12&amp;K4D4D4DSuperficial RT&amp;"-,Regular"&amp;11&amp;K01+000
</oddHeader>
    <oddFooter>&amp;L&amp;"Arial Rounded MT Bold,Regular"&amp;K4D4D4DF. Nelli 25-8-2015&amp;CRev 1&amp;Rpage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58"/>
  <sheetViews>
    <sheetView zoomScaleNormal="100" workbookViewId="0">
      <selection activeCell="A4" sqref="A4"/>
    </sheetView>
  </sheetViews>
  <sheetFormatPr defaultRowHeight="14.25" x14ac:dyDescent="0.2"/>
  <cols>
    <col min="1" max="1" width="10.28515625" style="1" customWidth="1"/>
    <col min="2" max="2" width="7.5703125" style="1" customWidth="1"/>
    <col min="3" max="3" width="9.42578125" style="1" customWidth="1"/>
    <col min="4" max="4" width="10.85546875" style="1" bestFit="1" customWidth="1"/>
    <col min="5" max="6" width="9.140625" style="1"/>
    <col min="7" max="7" width="9.42578125" style="1" bestFit="1" customWidth="1"/>
    <col min="8" max="16384" width="9.140625" style="1"/>
  </cols>
  <sheetData>
    <row r="1" spans="1:8" ht="18" x14ac:dyDescent="0.25">
      <c r="A1" s="2" t="s">
        <v>35</v>
      </c>
    </row>
    <row r="2" spans="1:8" x14ac:dyDescent="0.2">
      <c r="A2" s="79" t="s">
        <v>62</v>
      </c>
    </row>
    <row r="3" spans="1:8" x14ac:dyDescent="0.2">
      <c r="A3" s="79" t="s">
        <v>70</v>
      </c>
    </row>
    <row r="5" spans="1:8" ht="21" x14ac:dyDescent="0.35">
      <c r="A5" s="2" t="s">
        <v>52</v>
      </c>
      <c r="B5" s="21"/>
      <c r="C5" s="22"/>
      <c r="F5" s="87"/>
      <c r="G5" s="22"/>
      <c r="H5" s="22"/>
    </row>
    <row r="7" spans="1:8" ht="15" customHeight="1" x14ac:dyDescent="0.2"/>
    <row r="8" spans="1:8" ht="15" customHeight="1" x14ac:dyDescent="0.25">
      <c r="A8" s="160" t="s">
        <v>20</v>
      </c>
      <c r="B8" s="160"/>
      <c r="D8" s="109" t="s">
        <v>3</v>
      </c>
      <c r="E8" s="110" t="s">
        <v>49</v>
      </c>
      <c r="F8" s="111">
        <v>0.192</v>
      </c>
      <c r="G8" s="112" t="s">
        <v>50</v>
      </c>
      <c r="H8" s="113"/>
    </row>
    <row r="9" spans="1:8" ht="15" x14ac:dyDescent="0.2">
      <c r="A9" s="139"/>
      <c r="B9" s="139"/>
      <c r="C9" s="140" t="s">
        <v>51</v>
      </c>
      <c r="D9" s="141">
        <v>1</v>
      </c>
      <c r="E9" s="142">
        <v>2</v>
      </c>
      <c r="F9" s="142">
        <v>4</v>
      </c>
      <c r="G9" s="142">
        <v>6</v>
      </c>
      <c r="H9" s="143">
        <v>8</v>
      </c>
    </row>
    <row r="11" spans="1:8" ht="19.5" x14ac:dyDescent="0.35">
      <c r="A11" s="172" t="s">
        <v>55</v>
      </c>
      <c r="B11" s="173"/>
      <c r="C11" s="173"/>
      <c r="D11" s="174">
        <f>inter(D9,$F8,[4]Bw_Clin!$B$7:$G$14)</f>
        <v>1.0213391728666179</v>
      </c>
      <c r="E11" s="175">
        <f>inter(E9,$F8,[4]Bw_Clin!$B$7:$G$14)</f>
        <v>1.029603258810009</v>
      </c>
      <c r="F11" s="175">
        <f>inter(F9,$F8,[4]Bw_Clin!$B$7:$G$14)</f>
        <v>1.0340315160602946</v>
      </c>
      <c r="G11" s="175">
        <f>inter(G9,$F8,[4]Bw_Clin!$B$7:$G$14)</f>
        <v>1.0354547118510318</v>
      </c>
      <c r="H11" s="176">
        <f>inter(H9,$F8,[4]Bw_Clin!$B$7:$G$14)</f>
        <v>1.0359576608646717</v>
      </c>
    </row>
    <row r="12" spans="1:8" x14ac:dyDescent="0.2">
      <c r="D12" s="86"/>
      <c r="E12" s="86"/>
      <c r="F12" s="86"/>
      <c r="G12" s="86"/>
      <c r="H12" s="86"/>
    </row>
    <row r="13" spans="1:8" ht="15.75" customHeight="1" x14ac:dyDescent="0.35">
      <c r="A13" s="182" t="s">
        <v>54</v>
      </c>
      <c r="B13" s="161" t="s">
        <v>53</v>
      </c>
      <c r="C13" s="162">
        <v>9.9999999999999998E-13</v>
      </c>
      <c r="D13" s="89">
        <f>(1-inter($C13,1.15,'Att-w'!$A$4:$B$13)^2*15^2/(15+$C13)^2)*(D$11-1)+1</f>
        <v>1.0000000000000819</v>
      </c>
      <c r="E13" s="90">
        <f>(1-inter($C13,1.15,'Att-w'!$A$4:$B$13)^2*15^2/(15+$C13)^2)*(E$11-1)+1</f>
        <v>1.0000000000001139</v>
      </c>
      <c r="F13" s="90">
        <f>(1-inter($C13,1.15,'Att-w'!$A$4:$B$13)^2*15^2/(15+$C13)^2)*(F$11-1)+1</f>
        <v>1.0000000000001308</v>
      </c>
      <c r="G13" s="90">
        <f>(1-inter($C13,1.15,'Att-w'!$A$4:$B$13)^2*15^2/(15+$C13)^2)*(G$11-1)+1</f>
        <v>1.0000000000001363</v>
      </c>
      <c r="H13" s="91">
        <f>(1-inter($C13,1.15,'Att-w'!$A$4:$B$13)^2*15^2/(15+$C13)^2)*(H$11-1)+1</f>
        <v>1.0000000000001383</v>
      </c>
    </row>
    <row r="14" spans="1:8" ht="15.75" customHeight="1" x14ac:dyDescent="0.2">
      <c r="B14" s="163"/>
      <c r="C14" s="164">
        <v>0.5</v>
      </c>
      <c r="D14" s="94">
        <f>(1-inter($C14,1.15,'Att-w'!$A$4:$B$13)^2*15^2/(15+$C14)^2)*(D$11-1)+1</f>
        <v>1.0181062168048538</v>
      </c>
      <c r="E14" s="95">
        <f>(1-inter($C14,1.15,'Att-w'!$A$4:$B$13)^2*15^2/(15+$C14)^2)*(E$11-1)+1</f>
        <v>1.0251182660871887</v>
      </c>
      <c r="F14" s="95">
        <f>(1-inter($C14,1.15,'Att-w'!$A$4:$B$13)^2*15^2/(15+$C14)^2)*(F$11-1)+1</f>
        <v>1.0288756275530009</v>
      </c>
      <c r="G14" s="95">
        <f>(1-inter($C14,1.15,'Att-w'!$A$4:$B$13)^2*15^2/(15+$C14)^2)*(G$11-1)+1</f>
        <v>1.0300832044213224</v>
      </c>
      <c r="H14" s="96">
        <f>(1-inter($C14,1.15,'Att-w'!$A$4:$B$13)^2*15^2/(15+$C14)^2)*(H$11-1)+1</f>
        <v>1.0305099549771979</v>
      </c>
    </row>
    <row r="16" spans="1:8" x14ac:dyDescent="0.2">
      <c r="A16" s="79"/>
    </row>
    <row r="17" spans="1:8" ht="15" x14ac:dyDescent="0.25">
      <c r="A17" s="160" t="s">
        <v>20</v>
      </c>
      <c r="B17" s="160"/>
      <c r="D17" s="99" t="s">
        <v>4</v>
      </c>
      <c r="E17" s="100" t="s">
        <v>49</v>
      </c>
      <c r="F17" s="101">
        <v>0.8115</v>
      </c>
      <c r="G17" s="102" t="s">
        <v>50</v>
      </c>
      <c r="H17" s="103"/>
    </row>
    <row r="18" spans="1:8" ht="15" x14ac:dyDescent="0.2">
      <c r="A18" s="139"/>
      <c r="B18" s="139"/>
      <c r="C18" s="140" t="s">
        <v>51</v>
      </c>
      <c r="D18" s="141">
        <v>1</v>
      </c>
      <c r="E18" s="142">
        <v>2</v>
      </c>
      <c r="F18" s="142">
        <v>4</v>
      </c>
      <c r="G18" s="142">
        <v>6</v>
      </c>
      <c r="H18" s="143">
        <v>8</v>
      </c>
    </row>
    <row r="20" spans="1:8" ht="19.5" x14ac:dyDescent="0.35">
      <c r="A20" s="172" t="s">
        <v>56</v>
      </c>
      <c r="B20" s="173"/>
      <c r="C20" s="173"/>
      <c r="D20" s="174">
        <f>inter(D18,$F17,[4]Bw_Clin!$B$7:$G$14)</f>
        <v>1.0431722345550469</v>
      </c>
      <c r="E20" s="175">
        <f>inter(E18,$F17,[4]Bw_Clin!$B$7:$G$14)</f>
        <v>1.0754591001536986</v>
      </c>
      <c r="F20" s="175">
        <f>inter(F18,$F17,[4]Bw_Clin!$B$7:$G$14)</f>
        <v>1.1023464481528122</v>
      </c>
      <c r="G20" s="175">
        <f>inter(G18,$F17,[4]Bw_Clin!$B$7:$G$14)</f>
        <v>1.1152732789399016</v>
      </c>
      <c r="H20" s="176">
        <f>inter(H18,$F17,[4]Bw_Clin!$B$7:$G$14)</f>
        <v>1.1218111419875441</v>
      </c>
    </row>
    <row r="21" spans="1:8" x14ac:dyDescent="0.2">
      <c r="D21" s="86"/>
      <c r="E21" s="86"/>
      <c r="F21" s="86"/>
      <c r="G21" s="86"/>
      <c r="H21" s="86"/>
    </row>
    <row r="22" spans="1:8" ht="18.75" x14ac:dyDescent="0.35">
      <c r="A22" s="182" t="s">
        <v>54</v>
      </c>
      <c r="B22" s="161" t="s">
        <v>53</v>
      </c>
      <c r="C22" s="165">
        <v>9.9999999999999998E-13</v>
      </c>
      <c r="D22" s="89">
        <f>(1-inter($C22,2.15,'Att-w'!$D$4:$E$12)^2*15^2/(15+$C22)^2)*(D$20-1)+1</f>
        <v>1.0000000000000628</v>
      </c>
      <c r="E22" s="90">
        <f>(1-inter($C22,2.15,'Att-w'!$D$4:$E$12)^2*15^2/(15+$C22)^2)*(E$20-1)+1</f>
        <v>1.0000000000001099</v>
      </c>
      <c r="F22" s="90">
        <f>(1-inter($C22,2.15,'Att-w'!$D$4:$E$12)^2*15^2/(15+$C22)^2)*(F$20-1)+1</f>
        <v>1.000000000000149</v>
      </c>
      <c r="G22" s="90">
        <f>(1-inter($C22,2.15,'Att-w'!$D$4:$E$12)^2*15^2/(15+$C22)^2)*(G$20-1)+1</f>
        <v>1.0000000000001679</v>
      </c>
      <c r="H22" s="91">
        <f>(1-inter($C22,2.15,'Att-w'!$D$4:$E$12)^2*15^2/(15+$C22)^2)*(H$20-1)+1</f>
        <v>1.0000000000001774</v>
      </c>
    </row>
    <row r="23" spans="1:8" ht="15" x14ac:dyDescent="0.2">
      <c r="B23" s="166"/>
      <c r="C23" s="167">
        <v>0.5</v>
      </c>
      <c r="D23" s="92">
        <f>(1-inter($C23,2.15,'Att-w'!$D$4:$E$12)^2*15^2/(15+$C23)^2)*(D$20-1)+1</f>
        <v>1.0238123557934367</v>
      </c>
      <c r="E23" s="88">
        <f>(1-inter($C23,2.15,'Att-w'!$D$4:$E$12)^2*15^2/(15+$C23)^2)*(E$20-1)+1</f>
        <v>1.0416207073650854</v>
      </c>
      <c r="F23" s="88">
        <f>(1-inter($C23,2.15,'Att-w'!$D$4:$E$12)^2*15^2/(15+$C23)^2)*(F$20-1)+1</f>
        <v>1.0564508662275016</v>
      </c>
      <c r="G23" s="88">
        <f>(1-inter($C23,2.15,'Att-w'!$D$4:$E$12)^2*15^2/(15+$C23)^2)*(G$20-1)+1</f>
        <v>1.0635808722870961</v>
      </c>
      <c r="H23" s="93">
        <f>(1-inter($C23,2.15,'Att-w'!$D$4:$E$12)^2*15^2/(15+$C23)^2)*(H$20-1)+1</f>
        <v>1.0671869381445565</v>
      </c>
    </row>
    <row r="24" spans="1:8" ht="15" x14ac:dyDescent="0.2">
      <c r="A24" s="79"/>
      <c r="B24" s="168"/>
      <c r="C24" s="167">
        <v>1</v>
      </c>
      <c r="D24" s="92">
        <f>(1-inter($C24,2.15,'Att-w'!$D$4:$E$12)^2*15^2/(15+$C24)^2)*(D$20-1)+1</f>
        <v>1.033147682621429</v>
      </c>
      <c r="E24" s="88">
        <f>(1-inter($C24,2.15,'Att-w'!$D$4:$E$12)^2*15^2/(15+$C24)^2)*(E$20-1)+1</f>
        <v>1.0579375686381056</v>
      </c>
      <c r="F24" s="88">
        <f>(1-inter($C24,2.15,'Att-w'!$D$4:$E$12)^2*15^2/(15+$C24)^2)*(F$20-1)+1</f>
        <v>1.0785816999227658</v>
      </c>
      <c r="G24" s="88">
        <f>(1-inter($C24,2.15,'Att-w'!$D$4:$E$12)^2*15^2/(15+$C24)^2)*(G$20-1)+1</f>
        <v>1.0885069328565626</v>
      </c>
      <c r="H24" s="93">
        <f>(1-inter($C24,2.15,'Att-w'!$D$4:$E$12)^2*15^2/(15+$C24)^2)*(H$20-1)+1</f>
        <v>1.0935267103028585</v>
      </c>
    </row>
    <row r="25" spans="1:8" ht="15" x14ac:dyDescent="0.2">
      <c r="A25" s="79"/>
      <c r="B25" s="168"/>
      <c r="C25" s="167">
        <v>2</v>
      </c>
      <c r="D25" s="92">
        <f>(1-inter($C25,2.15,'Att-w'!$D$4:$E$12)^2*15^2/(15+$C25)^2)*(D$20-1)+1</f>
        <v>1.0397829543459436</v>
      </c>
      <c r="E25" s="88">
        <f>(1-inter($C25,2.15,'Att-w'!$D$4:$E$12)^2*15^2/(15+$C25)^2)*(E$20-1)+1</f>
        <v>1.0695351067031957</v>
      </c>
      <c r="F25" s="88">
        <f>(1-inter($C25,2.15,'Att-w'!$D$4:$E$12)^2*15^2/(15+$C25)^2)*(F$20-1)+1</f>
        <v>1.0943116360850225</v>
      </c>
      <c r="G25" s="88">
        <f>(1-inter($C25,2.15,'Att-w'!$D$4:$E$12)^2*15^2/(15+$C25)^2)*(G$20-1)+1</f>
        <v>1.1062236328658421</v>
      </c>
      <c r="H25" s="93">
        <f>(1-inter($C25,2.15,'Att-w'!$D$4:$E$12)^2*15^2/(15+$C25)^2)*(H$20-1)+1</f>
        <v>1.1122482343215012</v>
      </c>
    </row>
    <row r="26" spans="1:8" ht="15" x14ac:dyDescent="0.2">
      <c r="A26" s="79"/>
      <c r="B26" s="169"/>
      <c r="C26" s="170">
        <v>3</v>
      </c>
      <c r="D26" s="94">
        <f>(1-inter($C26,2.15,'Att-w'!$D$4:$E$12)^2*15^2/(15+$C26)^2)*(D$20-1)+1</f>
        <v>1.0419523596429026</v>
      </c>
      <c r="E26" s="95">
        <f>(1-inter($C26,2.15,'Att-w'!$D$4:$E$12)^2*15^2/(15+$C26)^2)*(E$20-1)+1</f>
        <v>1.0733269273783212</v>
      </c>
      <c r="F26" s="95">
        <f>(1-inter($C26,2.15,'Att-w'!$D$4:$E$12)^2*15^2/(15+$C26)^2)*(F$20-1)+1</f>
        <v>1.0994545463150813</v>
      </c>
      <c r="G26" s="95">
        <f>(1-inter($C26,2.15,'Att-w'!$D$4:$E$12)^2*15^2/(15+$C26)^2)*(G$20-1)+1</f>
        <v>1.1120161164958289</v>
      </c>
      <c r="H26" s="96">
        <f>(1-inter($C26,2.15,'Att-w'!$D$4:$E$12)^2*15^2/(15+$C26)^2)*(H$20-1)+1</f>
        <v>1.1183692456469507</v>
      </c>
    </row>
    <row r="27" spans="1:8" x14ac:dyDescent="0.2">
      <c r="A27" s="79"/>
    </row>
    <row r="28" spans="1:8" x14ac:dyDescent="0.2">
      <c r="A28" s="79"/>
    </row>
    <row r="29" spans="1:8" ht="15" x14ac:dyDescent="0.25">
      <c r="A29" s="160" t="s">
        <v>20</v>
      </c>
      <c r="B29" s="160"/>
      <c r="D29" s="104" t="s">
        <v>5</v>
      </c>
      <c r="E29" s="105" t="s">
        <v>49</v>
      </c>
      <c r="F29" s="106">
        <v>2.012</v>
      </c>
      <c r="G29" s="107" t="s">
        <v>50</v>
      </c>
      <c r="H29" s="108"/>
    </row>
    <row r="30" spans="1:8" ht="15" x14ac:dyDescent="0.2">
      <c r="A30" s="139"/>
      <c r="B30" s="139"/>
      <c r="C30" s="140" t="s">
        <v>51</v>
      </c>
      <c r="D30" s="141">
        <v>1</v>
      </c>
      <c r="E30" s="142">
        <v>2</v>
      </c>
      <c r="F30" s="142">
        <v>4</v>
      </c>
      <c r="G30" s="142">
        <v>6</v>
      </c>
      <c r="H30" s="143">
        <v>8</v>
      </c>
    </row>
    <row r="32" spans="1:8" ht="19.5" x14ac:dyDescent="0.35">
      <c r="A32" s="172" t="s">
        <v>57</v>
      </c>
      <c r="B32" s="173"/>
      <c r="C32" s="173"/>
      <c r="D32" s="177">
        <f>inter(D30,$F29,[4]Bw_Clin!$B$7:$G$14)</f>
        <v>1.0560659999999999</v>
      </c>
      <c r="E32" s="178">
        <f>inter(E30,$F29,[4]Bw_Clin!$B$7:$G$14)</f>
        <v>1.106144</v>
      </c>
      <c r="F32" s="178">
        <f>inter(F30,$F29,[4]Bw_Clin!$B$7:$G$14)</f>
        <v>1.1585799999999999</v>
      </c>
      <c r="G32" s="178">
        <f>inter(G30,$F29,[4]Bw_Clin!$B$7:$G$14)</f>
        <v>1.1895488000000001</v>
      </c>
      <c r="H32" s="179">
        <f>inter(H30,$F29,[4]Bw_Clin!$B$7:$G$14)</f>
        <v>1.2078544</v>
      </c>
    </row>
    <row r="33" spans="1:8" x14ac:dyDescent="0.2">
      <c r="D33" s="86"/>
      <c r="E33" s="86"/>
      <c r="F33" s="86"/>
      <c r="G33" s="86"/>
      <c r="H33" s="86"/>
    </row>
    <row r="34" spans="1:8" ht="18.75" x14ac:dyDescent="0.35">
      <c r="A34" s="182" t="s">
        <v>54</v>
      </c>
      <c r="B34" s="161" t="s">
        <v>53</v>
      </c>
      <c r="C34" s="162">
        <v>9.9999999999999998E-13</v>
      </c>
      <c r="D34" s="89">
        <f>(1-inter($C34,3.15,'Att-w'!$G$4:$H$12)^2*15^2/(15+$C34)^2)*(D$32-1)+1</f>
        <v>1.00000000000006</v>
      </c>
      <c r="E34" s="90">
        <f>(1-inter($C34,3.15,'Att-w'!$G$4:$H$12)^2*15^2/(15+$C34)^2)*(E$32-1)+1</f>
        <v>1.0000000000001135</v>
      </c>
      <c r="F34" s="90">
        <f>(1-inter($C34,3.15,'Att-w'!$G$4:$H$12)^2*15^2/(15+$C34)^2)*(F$32-1)+1</f>
        <v>1.0000000000001696</v>
      </c>
      <c r="G34" s="90">
        <f>(1-inter($C34,3.15,'Att-w'!$G$4:$H$12)^2*15^2/(15+$C34)^2)*(G$32-1)+1</f>
        <v>1.0000000000002027</v>
      </c>
      <c r="H34" s="91">
        <f>(1-inter($C34,3.15,'Att-w'!$G$4:$H$12)^2*15^2/(15+$C34)^2)*(H$32-1)+1</f>
        <v>1.0000000000002223</v>
      </c>
    </row>
    <row r="35" spans="1:8" ht="15" x14ac:dyDescent="0.2">
      <c r="B35" s="166"/>
      <c r="C35" s="171">
        <v>0.5</v>
      </c>
      <c r="D35" s="92">
        <f>(1-inter($C35,3.15,'Att-w'!$G$4:$H$12)^2*15^2/(15+$C35)^2)*(D$32-1)+1</f>
        <v>1.0252583405071116</v>
      </c>
      <c r="E35" s="88">
        <f>(1-inter($C35,3.15,'Att-w'!$G$4:$H$12)^2*15^2/(15+$C35)^2)*(E$32-1)+1</f>
        <v>1.0478190221308255</v>
      </c>
      <c r="F35" s="88">
        <f>(1-inter($C35,3.15,'Att-w'!$G$4:$H$12)^2*15^2/(15+$C35)^2)*(F$32-1)+1</f>
        <v>1.0714420083048151</v>
      </c>
      <c r="G35" s="88">
        <f>(1-inter($C35,3.15,'Att-w'!$G$4:$H$12)^2*15^2/(15+$C35)^2)*(G$32-1)+1</f>
        <v>1.0853937882694396</v>
      </c>
      <c r="H35" s="93">
        <f>(1-inter($C35,3.15,'Att-w'!$G$4:$H$12)^2*15^2/(15+$C35)^2)*(H$32-1)+1</f>
        <v>1.0936406594210641</v>
      </c>
    </row>
    <row r="36" spans="1:8" ht="15" x14ac:dyDescent="0.2">
      <c r="B36" s="166"/>
      <c r="C36" s="171">
        <v>1</v>
      </c>
      <c r="D36" s="92">
        <f>(1-inter($C36,3.15,'Att-w'!$G$4:$H$12)^2*15^2/(15+$C36)^2)*(D$32-1)+1</f>
        <v>1.0393797408363274</v>
      </c>
      <c r="E36" s="88">
        <f>(1-inter($C36,3.15,'Att-w'!$G$4:$H$12)^2*15^2/(15+$C36)^2)*(E$32-1)+1</f>
        <v>1.0745536191511993</v>
      </c>
      <c r="F36" s="88">
        <f>(1-inter($C36,3.15,'Att-w'!$G$4:$H$12)^2*15^2/(15+$C36)^2)*(F$32-1)+1</f>
        <v>1.1113837138698106</v>
      </c>
      <c r="G36" s="88">
        <f>(1-inter($C36,3.15,'Att-w'!$G$4:$H$12)^2*15^2/(15+$C36)^2)*(G$32-1)+1</f>
        <v>1.1331356369249967</v>
      </c>
      <c r="H36" s="93">
        <f>(1-inter($C36,3.15,'Att-w'!$G$4:$H$12)^2*15^2/(15+$C36)^2)*(H$32-1)+1</f>
        <v>1.145993158129532</v>
      </c>
    </row>
    <row r="37" spans="1:8" ht="15" x14ac:dyDescent="0.2">
      <c r="A37" s="79"/>
      <c r="B37" s="168"/>
      <c r="C37" s="171">
        <v>2</v>
      </c>
      <c r="D37" s="92">
        <f>(1-inter($C37,3.15,'Att-w'!$G$4:$H$12)^2*15^2/(15+$C37)^2)*(D$32-1)+1</f>
        <v>1.0490583427724665</v>
      </c>
      <c r="E37" s="88">
        <f>(1-inter($C37,3.15,'Att-w'!$G$4:$H$12)^2*15^2/(15+$C37)^2)*(E$32-1)+1</f>
        <v>1.0928771222352349</v>
      </c>
      <c r="F37" s="88">
        <f>(1-inter($C37,3.15,'Att-w'!$G$4:$H$12)^2*15^2/(15+$C37)^2)*(F$32-1)+1</f>
        <v>1.1387591766285758</v>
      </c>
      <c r="G37" s="88">
        <f>(1-inter($C37,3.15,'Att-w'!$G$4:$H$12)^2*15^2/(15+$C37)^2)*(G$32-1)+1</f>
        <v>1.1658572040543236</v>
      </c>
      <c r="H37" s="93">
        <f>(1-inter($C37,3.15,'Att-w'!$G$4:$H$12)^2*15^2/(15+$C37)^2)*(H$32-1)+1</f>
        <v>1.181874797595073</v>
      </c>
    </row>
    <row r="38" spans="1:8" ht="15" x14ac:dyDescent="0.2">
      <c r="A38" s="79"/>
      <c r="B38" s="168"/>
      <c r="C38" s="171">
        <v>3</v>
      </c>
      <c r="D38" s="92">
        <f>(1-inter($C38,3.15,'Att-w'!$G$4:$H$12)^2*15^2/(15+$C38)^2)*(D$32-1)+1</f>
        <v>1.0528945090692261</v>
      </c>
      <c r="E38" s="88">
        <f>(1-inter($C38,3.15,'Att-w'!$G$4:$H$12)^2*15^2/(15+$C38)^2)*(E$32-1)+1</f>
        <v>1.1001397419228045</v>
      </c>
      <c r="F38" s="88">
        <f>(1-inter($C38,3.15,'Att-w'!$G$4:$H$12)^2*15^2/(15+$C38)^2)*(F$32-1)+1</f>
        <v>1.1496095895586969</v>
      </c>
      <c r="G38" s="88">
        <f>(1-inter($C38,3.15,'Att-w'!$G$4:$H$12)^2*15^2/(15+$C38)^2)*(G$32-1)+1</f>
        <v>1.1788265744062527</v>
      </c>
      <c r="H38" s="93">
        <f>(1-inter($C38,3.15,'Att-w'!$G$4:$H$12)^2*15^2/(15+$C38)^2)*(H$32-1)+1</f>
        <v>1.1960966797324328</v>
      </c>
    </row>
    <row r="39" spans="1:8" ht="15" x14ac:dyDescent="0.2">
      <c r="A39" s="79"/>
      <c r="B39" s="169"/>
      <c r="C39" s="164">
        <v>4</v>
      </c>
      <c r="D39" s="94">
        <f>(1-inter($C39,3.15,'Att-w'!$G$4:$H$12)^2*15^2/(15+$C39)^2)*(D$32-1)+1</f>
        <v>1.0545248796896372</v>
      </c>
      <c r="E39" s="95">
        <f>(1-inter($C39,3.15,'Att-w'!$G$4:$H$12)^2*15^2/(15+$C39)^2)*(E$32-1)+1</f>
        <v>1.1032263551845476</v>
      </c>
      <c r="F39" s="95">
        <f>(1-inter($C39,3.15,'Att-w'!$G$4:$H$12)^2*15^2/(15+$C39)^2)*(F$32-1)+1</f>
        <v>1.1542210148964196</v>
      </c>
      <c r="G39" s="95">
        <f>(1-inter($C39,3.15,'Att-w'!$G$4:$H$12)^2*15^2/(15+$C39)^2)*(G$32-1)+1</f>
        <v>1.1843385566174705</v>
      </c>
      <c r="H39" s="96">
        <f>(1-inter($C39,3.15,'Att-w'!$G$4:$H$12)^2*15^2/(15+$C39)^2)*(H$32-1)+1</f>
        <v>1.2021409794342688</v>
      </c>
    </row>
    <row r="40" spans="1:8" ht="15" x14ac:dyDescent="0.2">
      <c r="A40" s="79"/>
      <c r="B40" s="97"/>
      <c r="C40" s="98"/>
      <c r="D40" s="88"/>
      <c r="E40" s="88"/>
      <c r="F40" s="88"/>
      <c r="G40" s="88"/>
      <c r="H40" s="88"/>
    </row>
    <row r="41" spans="1:8" x14ac:dyDescent="0.2">
      <c r="A41" s="79"/>
    </row>
    <row r="42" spans="1:8" ht="21" x14ac:dyDescent="0.35">
      <c r="A42" s="2" t="s">
        <v>52</v>
      </c>
      <c r="B42" s="21"/>
      <c r="C42" s="22"/>
      <c r="F42" s="87"/>
      <c r="G42" s="22"/>
      <c r="H42" s="22"/>
    </row>
    <row r="44" spans="1:8" x14ac:dyDescent="0.2">
      <c r="A44" s="79"/>
    </row>
    <row r="45" spans="1:8" ht="15" x14ac:dyDescent="0.25">
      <c r="A45" s="160" t="s">
        <v>20</v>
      </c>
      <c r="B45" s="160"/>
      <c r="D45" s="134" t="s">
        <v>6</v>
      </c>
      <c r="E45" s="135" t="s">
        <v>49</v>
      </c>
      <c r="F45" s="136">
        <v>2.6059999999999999</v>
      </c>
      <c r="G45" s="137" t="s">
        <v>50</v>
      </c>
      <c r="H45" s="138"/>
    </row>
    <row r="46" spans="1:8" ht="15" x14ac:dyDescent="0.2">
      <c r="A46" s="139"/>
      <c r="B46" s="139"/>
      <c r="C46" s="140" t="s">
        <v>51</v>
      </c>
      <c r="D46" s="141">
        <v>1</v>
      </c>
      <c r="E46" s="142">
        <v>2</v>
      </c>
      <c r="F46" s="142">
        <v>4</v>
      </c>
      <c r="G46" s="142">
        <v>6</v>
      </c>
      <c r="H46" s="143">
        <v>8</v>
      </c>
    </row>
    <row r="48" spans="1:8" ht="19.5" x14ac:dyDescent="0.35">
      <c r="A48" s="172" t="s">
        <v>58</v>
      </c>
      <c r="B48" s="173"/>
      <c r="C48" s="173"/>
      <c r="D48" s="174">
        <f>inter(D46,$F45,[4]Bw_Clin!$B$7:$G$14)</f>
        <v>1.0593302681185404</v>
      </c>
      <c r="E48" s="175">
        <f>inter(E46,$F45,[4]Bw_Clin!$B$7:$G$14)</f>
        <v>1.1132678907715865</v>
      </c>
      <c r="F48" s="175">
        <f>inter(F46,$F45,[4]Bw_Clin!$B$7:$G$14)</f>
        <v>1.1749077879388661</v>
      </c>
      <c r="G48" s="175">
        <f>inter(G46,$F45,[4]Bw_Clin!$B$7:$G$14)</f>
        <v>1.2117560712332123</v>
      </c>
      <c r="H48" s="176">
        <f>inter(H46,$F45,[4]Bw_Clin!$B$7:$G$14)</f>
        <v>1.2352880265750819</v>
      </c>
    </row>
    <row r="49" spans="1:8" x14ac:dyDescent="0.2">
      <c r="D49" s="86"/>
      <c r="E49" s="86"/>
      <c r="F49" s="86"/>
      <c r="G49" s="86"/>
      <c r="H49" s="86"/>
    </row>
    <row r="50" spans="1:8" ht="18.75" x14ac:dyDescent="0.35">
      <c r="A50" s="182" t="s">
        <v>54</v>
      </c>
      <c r="B50" s="161" t="s">
        <v>53</v>
      </c>
      <c r="C50" s="165">
        <v>9.9999999999999998E-13</v>
      </c>
      <c r="D50" s="89">
        <f>(1-inter($C50,4.15,'Att-w'!$J$4:$K$12)^2*15^2/(15+$C50)^2)*(D$48-1)+1</f>
        <v>1.000000000000058</v>
      </c>
      <c r="E50" s="90">
        <f>(1-inter($C50,4.15,'Att-w'!$J$4:$K$12)^2*15^2/(15+$C50)^2)*(E$48-1)+1</f>
        <v>1.0000000000001106</v>
      </c>
      <c r="F50" s="90">
        <f>(1-inter($C50,4.15,'Att-w'!$J$4:$K$12)^2*15^2/(15+$C50)^2)*(F$48-1)+1</f>
        <v>1.0000000000001708</v>
      </c>
      <c r="G50" s="90">
        <f>(1-inter($C50,4.15,'Att-w'!$J$4:$K$12)^2*15^2/(15+$C50)^2)*(G$48-1)+1</f>
        <v>1.0000000000002067</v>
      </c>
      <c r="H50" s="91">
        <f>(1-inter($C50,4.15,'Att-w'!$J$4:$K$12)^2*15^2/(15+$C50)^2)*(H$48-1)+1</f>
        <v>1.0000000000002298</v>
      </c>
    </row>
    <row r="51" spans="1:8" ht="15" x14ac:dyDescent="0.2">
      <c r="B51" s="166"/>
      <c r="C51" s="167">
        <v>0.5</v>
      </c>
      <c r="D51" s="92">
        <f>(1-inter($C51,4.15,'Att-w'!$J$4:$K$12)^2*15^2/(15+$C51)^2)*(D$48-1)+1</f>
        <v>1.0247184225108048</v>
      </c>
      <c r="E51" s="88">
        <f>(1-inter($C51,4.15,'Att-w'!$J$4:$K$12)^2*15^2/(15+$C51)^2)*(E$48-1)+1</f>
        <v>1.0471901386895104</v>
      </c>
      <c r="F51" s="88">
        <f>(1-inter($C51,4.15,'Att-w'!$J$4:$K$12)^2*15^2/(15+$C51)^2)*(F$48-1)+1</f>
        <v>1.0728708084390415</v>
      </c>
      <c r="G51" s="88">
        <f>(1-inter($C51,4.15,'Att-w'!$J$4:$K$12)^2*15^2/(15+$C51)^2)*(G$48-1)+1</f>
        <v>1.0882226931372136</v>
      </c>
      <c r="H51" s="93">
        <f>(1-inter($C51,4.15,'Att-w'!$J$4:$K$12)^2*15^2/(15+$C51)^2)*(H$48-1)+1</f>
        <v>1.0980266740240614</v>
      </c>
    </row>
    <row r="52" spans="1:8" ht="15" x14ac:dyDescent="0.2">
      <c r="B52" s="166"/>
      <c r="C52" s="167">
        <v>1</v>
      </c>
      <c r="D52" s="92">
        <f>(1-inter($C52,4.15,'Att-w'!$J$4:$K$12)^2*15^2/(15+$C52)^2)*(D$48-1)+1</f>
        <v>1.038526327440781</v>
      </c>
      <c r="E52" s="88">
        <f>(1-inter($C52,4.15,'Att-w'!$J$4:$K$12)^2*15^2/(15+$C52)^2)*(E$48-1)+1</f>
        <v>1.0735509207488161</v>
      </c>
      <c r="F52" s="88">
        <f>(1-inter($C52,4.15,'Att-w'!$J$4:$K$12)^2*15^2/(15+$C52)^2)*(F$48-1)+1</f>
        <v>1.1135770142924686</v>
      </c>
      <c r="G52" s="88">
        <f>(1-inter($C52,4.15,'Att-w'!$J$4:$K$12)^2*15^2/(15+$C52)^2)*(G$48-1)+1</f>
        <v>1.137504582342427</v>
      </c>
      <c r="H52" s="93">
        <f>(1-inter($C52,4.15,'Att-w'!$J$4:$K$12)^2*15^2/(15+$C52)^2)*(H$48-1)+1</f>
        <v>1.1527851439439916</v>
      </c>
    </row>
    <row r="53" spans="1:8" ht="15" x14ac:dyDescent="0.2">
      <c r="A53" s="79"/>
      <c r="B53" s="166"/>
      <c r="C53" s="167">
        <v>2</v>
      </c>
      <c r="D53" s="92">
        <f>(1-inter($C53,4.15,'Att-w'!$J$4:$K$12)^2*15^2/(15+$C53)^2)*(D$48-1)+1</f>
        <v>1.0507672963769128</v>
      </c>
      <c r="E53" s="88">
        <f>(1-inter($C53,4.15,'Att-w'!$J$4:$K$12)^2*15^2/(15+$C53)^2)*(E$48-1)+1</f>
        <v>1.0969202527333934</v>
      </c>
      <c r="F53" s="88">
        <f>(1-inter($C53,4.15,'Att-w'!$J$4:$K$12)^2*15^2/(15+$C53)^2)*(F$48-1)+1</f>
        <v>1.1496638358549374</v>
      </c>
      <c r="G53" s="88">
        <f>(1-inter($C53,4.15,'Att-w'!$J$4:$K$12)^2*15^2/(15+$C53)^2)*(G$48-1)+1</f>
        <v>1.1811939094296418</v>
      </c>
      <c r="H53" s="93">
        <f>(1-inter($C53,4.15,'Att-w'!$J$4:$K$12)^2*15^2/(15+$C53)^2)*(H$48-1)+1</f>
        <v>1.2013295634398695</v>
      </c>
    </row>
    <row r="54" spans="1:8" ht="15" x14ac:dyDescent="0.2">
      <c r="A54" s="79"/>
      <c r="B54" s="166"/>
      <c r="C54" s="167">
        <v>3</v>
      </c>
      <c r="D54" s="92">
        <f>(1-inter($C54,4.15,'Att-w'!$J$4:$K$12)^2*15^2/(15+$C54)^2)*(D$48-1)+1</f>
        <v>1.0550230055059184</v>
      </c>
      <c r="E54" s="88">
        <f>(1-inter($C54,4.15,'Att-w'!$J$4:$K$12)^2*15^2/(15+$C54)^2)*(E$48-1)+1</f>
        <v>1.1050448611679409</v>
      </c>
      <c r="F54" s="88">
        <f>(1-inter($C54,4.15,'Att-w'!$J$4:$K$12)^2*15^2/(15+$C54)^2)*(F$48-1)+1</f>
        <v>1.1622098211246885</v>
      </c>
      <c r="G54" s="88">
        <f>(1-inter($C54,4.15,'Att-w'!$J$4:$K$12)^2*15^2/(15+$C54)^2)*(G$48-1)+1</f>
        <v>1.196382990383549</v>
      </c>
      <c r="H54" s="93">
        <f>(1-inter($C54,4.15,'Att-w'!$J$4:$K$12)^2*15^2/(15+$C54)^2)*(H$48-1)+1</f>
        <v>1.2182065713212542</v>
      </c>
    </row>
    <row r="55" spans="1:8" ht="15" x14ac:dyDescent="0.2">
      <c r="A55" s="79"/>
      <c r="B55" s="166"/>
      <c r="C55" s="167">
        <v>4</v>
      </c>
      <c r="D55" s="92">
        <f>(1-inter($C55,4.15,'Att-w'!$J$4:$K$12)^2*15^2/(15+$C55)^2)*(D$48-1)+1</f>
        <v>1.0570756232570502</v>
      </c>
      <c r="E55" s="88">
        <f>(1-inter($C55,4.15,'Att-w'!$J$4:$K$12)^2*15^2/(15+$C55)^2)*(E$48-1)+1</f>
        <v>1.1089635301813097</v>
      </c>
      <c r="F55" s="88">
        <f>(1-inter($C55,4.15,'Att-w'!$J$4:$K$12)^2*15^2/(15+$C55)^2)*(F$48-1)+1</f>
        <v>1.1682610128977844</v>
      </c>
      <c r="G55" s="88">
        <f>(1-inter($C55,4.15,'Att-w'!$J$4:$K$12)^2*15^2/(15+$C55)^2)*(G$48-1)+1</f>
        <v>1.2037090026283406</v>
      </c>
      <c r="H55" s="93">
        <f>(1-inter($C55,4.15,'Att-w'!$J$4:$K$12)^2*15^2/(15+$C55)^2)*(H$48-1)+1</f>
        <v>1.226346706117406</v>
      </c>
    </row>
    <row r="56" spans="1:8" ht="15" x14ac:dyDescent="0.2">
      <c r="A56" s="79"/>
      <c r="B56" s="163"/>
      <c r="C56" s="170">
        <v>5</v>
      </c>
      <c r="D56" s="94">
        <f>(1-inter($C56,4.15,'Att-w'!$J$4:$K$12)^2*15^2/(15+$C56)^2)*(D$48-1)+1</f>
        <v>1.0581651078125367</v>
      </c>
      <c r="E56" s="95">
        <f>(1-inter($C56,4.15,'Att-w'!$J$4:$K$12)^2*15^2/(15+$C56)^2)*(E$48-1)+1</f>
        <v>1.1110434738852826</v>
      </c>
      <c r="F56" s="95">
        <f>(1-inter($C56,4.15,'Att-w'!$J$4:$K$12)^2*15^2/(15+$C56)^2)*(F$48-1)+1</f>
        <v>1.1714728529861012</v>
      </c>
      <c r="G56" s="95">
        <f>(1-inter($C56,4.15,'Att-w'!$J$4:$K$12)^2*15^2/(15+$C56)^2)*(G$48-1)+1</f>
        <v>1.2075974895078898</v>
      </c>
      <c r="H56" s="96">
        <f>(1-inter($C56,4.15,'Att-w'!$J$4:$K$12)^2*15^2/(15+$C56)^2)*(H$48-1)+1</f>
        <v>1.2306673114201208</v>
      </c>
    </row>
    <row r="57" spans="1:8" x14ac:dyDescent="0.2">
      <c r="A57" s="79"/>
    </row>
    <row r="58" spans="1:8" x14ac:dyDescent="0.2">
      <c r="A58" s="79"/>
    </row>
    <row r="59" spans="1:8" ht="15" x14ac:dyDescent="0.25">
      <c r="A59" s="160" t="s">
        <v>20</v>
      </c>
      <c r="B59" s="160"/>
      <c r="D59" s="115" t="s">
        <v>7</v>
      </c>
      <c r="E59" s="116" t="s">
        <v>49</v>
      </c>
      <c r="F59" s="117">
        <v>4.0209999999999999</v>
      </c>
      <c r="G59" s="118" t="s">
        <v>50</v>
      </c>
      <c r="H59" s="119"/>
    </row>
    <row r="60" spans="1:8" ht="15" x14ac:dyDescent="0.2">
      <c r="A60" s="139"/>
      <c r="B60" s="139"/>
      <c r="C60" s="140" t="s">
        <v>51</v>
      </c>
      <c r="D60" s="141">
        <v>1</v>
      </c>
      <c r="E60" s="142">
        <v>2</v>
      </c>
      <c r="F60" s="142">
        <v>4</v>
      </c>
      <c r="G60" s="142">
        <v>6</v>
      </c>
      <c r="H60" s="143">
        <v>8</v>
      </c>
    </row>
    <row r="62" spans="1:8" ht="19.5" x14ac:dyDescent="0.35">
      <c r="A62" s="172" t="s">
        <v>59</v>
      </c>
      <c r="B62" s="173"/>
      <c r="C62" s="173"/>
      <c r="D62" s="174">
        <f>inter(D60,$F59,[4]Bw_Clin!$B$7:$G$14)</f>
        <v>1.0589663742958866</v>
      </c>
      <c r="E62" s="175">
        <f>inter(E60,$F59,[4]Bw_Clin!$B$7:$G$14)</f>
        <v>1.1179942869984016</v>
      </c>
      <c r="F62" s="175">
        <f>inter(F60,$F59,[4]Bw_Clin!$B$7:$G$14)</f>
        <v>1.1923141240972517</v>
      </c>
      <c r="G62" s="175">
        <f>inter(G60,$F59,[4]Bw_Clin!$B$7:$G$14)</f>
        <v>1.2398409224802076</v>
      </c>
      <c r="H62" s="176">
        <f>inter(H60,$F59,[4]Bw_Clin!$B$7:$G$14)</f>
        <v>1.2733061309890323</v>
      </c>
    </row>
    <row r="63" spans="1:8" x14ac:dyDescent="0.2">
      <c r="D63" s="86"/>
      <c r="E63" s="86"/>
      <c r="F63" s="86"/>
      <c r="G63" s="86"/>
      <c r="H63" s="86"/>
    </row>
    <row r="64" spans="1:8" ht="18.75" x14ac:dyDescent="0.35">
      <c r="A64" s="182" t="s">
        <v>54</v>
      </c>
      <c r="B64" s="161" t="s">
        <v>53</v>
      </c>
      <c r="C64" s="165">
        <v>9.9999999999999998E-13</v>
      </c>
      <c r="D64" s="89">
        <f>(1-inter($C64,5.15,'Att-w'!$M$4:$N$12)^2*15^2/(15+$C64)^2)*(D$62-1)+1</f>
        <v>1.0000000000000475</v>
      </c>
      <c r="E64" s="90">
        <f>(1-inter($C64,5.15,'Att-w'!$M$4:$N$12)^2*15^2/(15+$C64)^2)*(E$62-1)+1</f>
        <v>1.0000000000000953</v>
      </c>
      <c r="F64" s="90">
        <f>(1-inter($C64,5.15,'Att-w'!$M$4:$N$12)^2*15^2/(15+$C64)^2)*(F$62-1)+1</f>
        <v>1.0000000000001552</v>
      </c>
      <c r="G64" s="90">
        <f>(1-inter($C64,5.15,'Att-w'!$M$4:$N$12)^2*15^2/(15+$C64)^2)*(G$62-1)+1</f>
        <v>1.0000000000001934</v>
      </c>
      <c r="H64" s="91">
        <f>(1-inter($C64,5.15,'Att-w'!$M$4:$N$12)^2*15^2/(15+$C64)^2)*(H$62-1)+1</f>
        <v>1.0000000000002205</v>
      </c>
    </row>
    <row r="65" spans="1:9" ht="15" x14ac:dyDescent="0.2">
      <c r="B65" s="166"/>
      <c r="C65" s="167">
        <v>0.5</v>
      </c>
      <c r="D65" s="92">
        <f>(1-inter($C65,5.15,'Att-w'!$M$4:$N$12)^2*15^2/(15+$C65)^2)*(D$62-1)+1</f>
        <v>1.0207696362232672</v>
      </c>
      <c r="E65" s="88">
        <f>(1-inter($C65,5.15,'Att-w'!$M$4:$N$12)^2*15^2/(15+$C65)^2)*(E$62-1)+1</f>
        <v>1.0415609480257892</v>
      </c>
      <c r="F65" s="88">
        <f>(1-inter($C65,5.15,'Att-w'!$M$4:$N$12)^2*15^2/(15+$C65)^2)*(F$62-1)+1</f>
        <v>1.0677385110716364</v>
      </c>
      <c r="G65" s="88">
        <f>(1-inter($C65,5.15,'Att-w'!$M$4:$N$12)^2*15^2/(15+$C65)^2)*(G$62-1)+1</f>
        <v>1.084478802891468</v>
      </c>
      <c r="H65" s="93">
        <f>(1-inter($C65,5.15,'Att-w'!$M$4:$N$12)^2*15^2/(15+$C65)^2)*(H$62-1)+1</f>
        <v>1.0962662023231566</v>
      </c>
    </row>
    <row r="66" spans="1:9" ht="15" x14ac:dyDescent="0.2">
      <c r="B66" s="166"/>
      <c r="C66" s="167">
        <v>1</v>
      </c>
      <c r="D66" s="92">
        <f>(1-inter($C66,5.15,'Att-w'!$M$4:$N$12)^2*15^2/(15+$C66)^2)*(D$62-1)+1</f>
        <v>1.0330073676667786</v>
      </c>
      <c r="E66" s="88">
        <f>(1-inter($C66,5.15,'Att-w'!$M$4:$N$12)^2*15^2/(15+$C66)^2)*(E$62-1)+1</f>
        <v>1.0660491824373084</v>
      </c>
      <c r="F66" s="88">
        <f>(1-inter($C66,5.15,'Att-w'!$M$4:$N$12)^2*15^2/(15+$C66)^2)*(F$62-1)+1</f>
        <v>1.1076508955721103</v>
      </c>
      <c r="G66" s="88">
        <f>(1-inter($C66,5.15,'Att-w'!$M$4:$N$12)^2*15^2/(15+$C66)^2)*(G$62-1)+1</f>
        <v>1.13425477832704</v>
      </c>
      <c r="H66" s="93">
        <f>(1-inter($C66,5.15,'Att-w'!$M$4:$N$12)^2*15^2/(15+$C66)^2)*(H$62-1)+1</f>
        <v>1.1529874620724139</v>
      </c>
    </row>
    <row r="67" spans="1:9" ht="15" x14ac:dyDescent="0.2">
      <c r="A67" s="79"/>
      <c r="B67" s="166"/>
      <c r="C67" s="167">
        <v>2</v>
      </c>
      <c r="D67" s="92">
        <f>(1-inter($C67,5.15,'Att-w'!$M$4:$N$12)^2*15^2/(15+$C67)^2)*(D$62-1)+1</f>
        <v>1.0466055980970206</v>
      </c>
      <c r="E67" s="88">
        <f>(1-inter($C67,5.15,'Att-w'!$M$4:$N$12)^2*15^2/(15+$C67)^2)*(E$62-1)+1</f>
        <v>1.0932598346643747</v>
      </c>
      <c r="F67" s="88">
        <f>(1-inter($C67,5.15,'Att-w'!$M$4:$N$12)^2*15^2/(15+$C67)^2)*(F$62-1)+1</f>
        <v>1.1520004389464777</v>
      </c>
      <c r="G67" s="88">
        <f>(1-inter($C67,5.15,'Att-w'!$M$4:$N$12)^2*15^2/(15+$C67)^2)*(G$62-1)+1</f>
        <v>1.1895644725287273</v>
      </c>
      <c r="H67" s="93">
        <f>(1-inter($C67,5.15,'Att-w'!$M$4:$N$12)^2*15^2/(15+$C67)^2)*(H$62-1)+1</f>
        <v>1.2160145650877348</v>
      </c>
    </row>
    <row r="68" spans="1:9" ht="15" x14ac:dyDescent="0.2">
      <c r="A68" s="79"/>
      <c r="B68" s="166"/>
      <c r="C68" s="167">
        <v>3</v>
      </c>
      <c r="D68" s="92">
        <f>(1-inter($C68,5.15,'Att-w'!$M$4:$N$12)^2*15^2/(15+$C68)^2)*(D$62-1)+1</f>
        <v>1.0538816704112808</v>
      </c>
      <c r="E68" s="88">
        <f>(1-inter($C68,5.15,'Att-w'!$M$4:$N$12)^2*15^2/(15+$C68)^2)*(E$62-1)+1</f>
        <v>1.1078195727374993</v>
      </c>
      <c r="F68" s="88">
        <f>(1-inter($C68,5.15,'Att-w'!$M$4:$N$12)^2*15^2/(15+$C68)^2)*(F$62-1)+1</f>
        <v>1.1757307681500968</v>
      </c>
      <c r="G68" s="88">
        <f>(1-inter($C68,5.15,'Att-w'!$M$4:$N$12)^2*15^2/(15+$C68)^2)*(G$62-1)+1</f>
        <v>1.219159303764715</v>
      </c>
      <c r="H68" s="93">
        <f>(1-inter($C68,5.15,'Att-w'!$M$4:$N$12)^2*15^2/(15+$C68)^2)*(H$62-1)+1</f>
        <v>1.2497387883718105</v>
      </c>
    </row>
    <row r="69" spans="1:9" ht="15" x14ac:dyDescent="0.2">
      <c r="A69" s="79"/>
      <c r="B69" s="166"/>
      <c r="C69" s="167">
        <v>4</v>
      </c>
      <c r="D69" s="92">
        <f>(1-inter($C69,5.15,'Att-w'!$M$4:$N$12)^2*15^2/(15+$C69)^2)*(D$62-1)+1</f>
        <v>1.0559607181743482</v>
      </c>
      <c r="E69" s="88">
        <f>(1-inter($C69,5.15,'Att-w'!$M$4:$N$12)^2*15^2/(15+$C69)^2)*(E$62-1)+1</f>
        <v>1.1119798379966079</v>
      </c>
      <c r="F69" s="88">
        <f>(1-inter($C69,5.15,'Att-w'!$M$4:$N$12)^2*15^2/(15+$C69)^2)*(F$62-1)+1</f>
        <v>1.1825114165159667</v>
      </c>
      <c r="G69" s="88">
        <f>(1-inter($C69,5.15,'Att-w'!$M$4:$N$12)^2*15^2/(15+$C69)^2)*(G$62-1)+1</f>
        <v>1.2276156611264954</v>
      </c>
      <c r="H69" s="93">
        <f>(1-inter($C69,5.15,'Att-w'!$M$4:$N$12)^2*15^2/(15+$C69)^2)*(H$62-1)+1</f>
        <v>1.2593750684899354</v>
      </c>
    </row>
    <row r="70" spans="1:9" ht="15" x14ac:dyDescent="0.2">
      <c r="A70" s="79"/>
      <c r="B70" s="166"/>
      <c r="C70" s="167">
        <v>5</v>
      </c>
      <c r="D70" s="92">
        <f>(1-inter($C70,5.15,'Att-w'!$M$4:$N$12)^2*15^2/(15+$C70)^2)*(D$62-1)+1</f>
        <v>1.0574277204348901</v>
      </c>
      <c r="E70" s="88">
        <f>(1-inter($C70,5.15,'Att-w'!$M$4:$N$12)^2*15^2/(15+$C70)^2)*(E$62-1)+1</f>
        <v>1.1149153735085775</v>
      </c>
      <c r="F70" s="88">
        <f>(1-inter($C70,5.15,'Att-w'!$M$4:$N$12)^2*15^2/(15+$C70)^2)*(F$62-1)+1</f>
        <v>1.1872959273181587</v>
      </c>
      <c r="G70" s="88">
        <f>(1-inter($C70,5.15,'Att-w'!$M$4:$N$12)^2*15^2/(15+$C70)^2)*(G$62-1)+1</f>
        <v>1.2335825732802486</v>
      </c>
      <c r="H70" s="93">
        <f>(1-inter($C70,5.15,'Att-w'!$M$4:$N$12)^2*15^2/(15+$C70)^2)*(H$62-1)+1</f>
        <v>1.2661745489865477</v>
      </c>
    </row>
    <row r="71" spans="1:9" ht="15" x14ac:dyDescent="0.2">
      <c r="A71" s="79"/>
      <c r="B71" s="163"/>
      <c r="C71" s="170">
        <v>6</v>
      </c>
      <c r="D71" s="94">
        <f>(1-inter($C71,5.15,'Att-w'!$M$4:$N$12)^2*15^2/(15+$C71)^2)*(D$62-1)+1</f>
        <v>1.0583357098103821</v>
      </c>
      <c r="E71" s="95">
        <f>(1-inter($C71,5.15,'Att-w'!$M$4:$N$12)^2*15^2/(15+$C71)^2)*(E$62-1)+1</f>
        <v>1.1167322998541878</v>
      </c>
      <c r="F71" s="95">
        <f>(1-inter($C71,5.15,'Att-w'!$M$4:$N$12)^2*15^2/(15+$C71)^2)*(F$62-1)+1</f>
        <v>1.1902572622064316</v>
      </c>
      <c r="G71" s="95">
        <f>(1-inter($C71,5.15,'Att-w'!$M$4:$N$12)^2*15^2/(15+$C71)^2)*(G$62-1)+1</f>
        <v>1.2372757460761117</v>
      </c>
      <c r="H71" s="96">
        <f>(1-inter($C71,5.15,'Att-w'!$M$4:$N$12)^2*15^2/(15+$C71)^2)*(H$62-1)+1</f>
        <v>1.2703830333330612</v>
      </c>
    </row>
    <row r="72" spans="1:9" x14ac:dyDescent="0.2">
      <c r="A72" s="79"/>
    </row>
    <row r="73" spans="1:9" x14ac:dyDescent="0.2">
      <c r="A73" s="79"/>
    </row>
    <row r="74" spans="1:9" x14ac:dyDescent="0.2">
      <c r="A74" s="79"/>
    </row>
    <row r="75" spans="1:9" ht="21" x14ac:dyDescent="0.35">
      <c r="A75" s="2" t="s">
        <v>60</v>
      </c>
    </row>
    <row r="78" spans="1:9" ht="15" x14ac:dyDescent="0.25">
      <c r="A78" s="159" t="s">
        <v>39</v>
      </c>
      <c r="B78" s="159"/>
      <c r="D78" s="109" t="s">
        <v>3</v>
      </c>
      <c r="E78" s="110" t="s">
        <v>49</v>
      </c>
      <c r="F78" s="111">
        <v>0.192</v>
      </c>
      <c r="G78" s="112" t="s">
        <v>50</v>
      </c>
      <c r="H78" s="112"/>
      <c r="I78" s="113"/>
    </row>
    <row r="79" spans="1:9" ht="15" x14ac:dyDescent="0.2">
      <c r="A79" s="139"/>
      <c r="B79" s="139"/>
      <c r="C79" s="140" t="s">
        <v>51</v>
      </c>
      <c r="D79" s="141">
        <v>1</v>
      </c>
      <c r="E79" s="142">
        <v>2</v>
      </c>
      <c r="F79" s="142">
        <v>4</v>
      </c>
      <c r="G79" s="142">
        <v>6</v>
      </c>
      <c r="H79" s="142">
        <v>10</v>
      </c>
      <c r="I79" s="143">
        <v>15</v>
      </c>
    </row>
    <row r="81" spans="1:11" ht="19.5" x14ac:dyDescent="0.35">
      <c r="A81" s="172" t="s">
        <v>61</v>
      </c>
      <c r="B81" s="173"/>
      <c r="C81" s="173"/>
      <c r="D81" s="174">
        <f>inter(D79,$F78,[4]Bw_Clin!$B$19:$G$26)</f>
        <v>1.0214237844228604</v>
      </c>
      <c r="E81" s="175">
        <f>inter(E79,$F78,[4]Bw_Clin!$B$19:$G$26)</f>
        <v>1.0300179609466147</v>
      </c>
      <c r="F81" s="175">
        <f>inter(F79,$F78,[4]Bw_Clin!$B$19:$G$26)</f>
        <v>1.034531580457686</v>
      </c>
      <c r="G81" s="175">
        <f>inter(G79,$F78,[4]Bw_Clin!$B$19:$G$26)</f>
        <v>1.0360380963211751</v>
      </c>
      <c r="H81" s="175">
        <f>inter(H79,$F78,[4]Bw_Clin!$B$19:$G$26)</f>
        <v>1.0373772746394634</v>
      </c>
      <c r="I81" s="176">
        <f>inter(I79,$F78,[4]Bw_Clin!$B$19:$G$26)</f>
        <v>1.0375503156720545</v>
      </c>
    </row>
    <row r="82" spans="1:11" x14ac:dyDescent="0.2">
      <c r="D82" s="86"/>
      <c r="E82" s="86"/>
      <c r="F82" s="86"/>
      <c r="G82" s="86"/>
      <c r="H82" s="86"/>
      <c r="I82" s="86"/>
    </row>
    <row r="83" spans="1:11" ht="18.75" x14ac:dyDescent="0.35">
      <c r="A83" s="182" t="s">
        <v>54</v>
      </c>
      <c r="B83" s="161" t="s">
        <v>53</v>
      </c>
      <c r="C83" s="165">
        <v>9.9999999999999998E-13</v>
      </c>
      <c r="D83" s="89">
        <f>(1-inter($C83,1.25,'Att-w'!$A$22:$B$31)^2*25^2/(25+$C83)^2)*(D$81-1)+1</f>
        <v>1.0000000000000953</v>
      </c>
      <c r="E83" s="90">
        <f>(1-inter($C83,1.25,'Att-w'!$A$22:$B$31)^2*25^2/(25+$C83)^2)*(E$81-1)+1</f>
        <v>1.0000000000001334</v>
      </c>
      <c r="F83" s="90">
        <f>(1-inter($C83,1.25,'Att-w'!$A$22:$B$31)^2*25^2/(25+$C83)^2)*(F$81-1)+1</f>
        <v>1.0000000000001534</v>
      </c>
      <c r="G83" s="90">
        <f>(1-inter($C83,1.25,'Att-w'!$A$22:$B$31)^2*25^2/(25+$C83)^2)*(G$81-1)+1</f>
        <v>1.0000000000001601</v>
      </c>
      <c r="H83" s="90">
        <f>(1-inter($C83,1.25,'Att-w'!$A$22:$B$31)^2*25^2/(25+$C83)^2)*(H$81-1)+1</f>
        <v>1.0000000000001661</v>
      </c>
      <c r="I83" s="91">
        <f>(1-inter($C83,1.25,'Att-w'!$A$22:$B$31)^2*25^2/(25+$C83)^2)*(I$81-1)+1</f>
        <v>1.0000000000001668</v>
      </c>
    </row>
    <row r="84" spans="1:11" ht="15" x14ac:dyDescent="0.2">
      <c r="B84" s="163"/>
      <c r="C84" s="170">
        <v>0.6</v>
      </c>
      <c r="D84" s="94">
        <f>(1-inter($C84,1.25,'Att-w'!$A$22:$B$31)^2*25^2/(25+$C84)^2)*(D$81-1)+1</f>
        <v>1.0185519980287985</v>
      </c>
      <c r="E84" s="95">
        <f>(1-inter($C84,1.25,'Att-w'!$A$22:$B$31)^2*25^2/(25+$C84)^2)*(E$81-1)+1</f>
        <v>1.0259941540354518</v>
      </c>
      <c r="F84" s="95">
        <f>(1-inter($C84,1.25,'Att-w'!$A$22:$B$31)^2*25^2/(25+$C84)^2)*(F$81-1)+1</f>
        <v>1.0299027380007941</v>
      </c>
      <c r="G84" s="95">
        <f>(1-inter($C84,1.25,'Att-w'!$A$22:$B$31)^2*25^2/(25+$C84)^2)*(G$81-1)+1</f>
        <v>1.0312073104693249</v>
      </c>
      <c r="H84" s="95">
        <f>(1-inter($C84,1.25,'Att-w'!$A$22:$B$31)^2*25^2/(25+$C84)^2)*(H$81-1)+1</f>
        <v>1.0323669764289292</v>
      </c>
      <c r="I84" s="96">
        <f>(1-inter($C84,1.25,'Att-w'!$A$22:$B$31)^2*25^2/(25+$C84)^2)*(I$81-1)+1</f>
        <v>1.0325168218919047</v>
      </c>
      <c r="K84" s="120"/>
    </row>
    <row r="86" spans="1:11" x14ac:dyDescent="0.2">
      <c r="A86" s="79"/>
    </row>
    <row r="87" spans="1:11" ht="15" x14ac:dyDescent="0.25">
      <c r="A87" s="159" t="s">
        <v>39</v>
      </c>
      <c r="B87" s="159"/>
      <c r="D87" s="99" t="s">
        <v>4</v>
      </c>
      <c r="E87" s="100" t="s">
        <v>49</v>
      </c>
      <c r="F87" s="101">
        <v>0.8115</v>
      </c>
      <c r="G87" s="102" t="s">
        <v>50</v>
      </c>
      <c r="H87" s="102"/>
      <c r="I87" s="103"/>
    </row>
    <row r="88" spans="1:11" ht="15" x14ac:dyDescent="0.2">
      <c r="A88" s="139"/>
      <c r="B88" s="139"/>
      <c r="C88" s="140" t="s">
        <v>51</v>
      </c>
      <c r="D88" s="141">
        <v>1</v>
      </c>
      <c r="E88" s="142">
        <v>2</v>
      </c>
      <c r="F88" s="142">
        <v>4</v>
      </c>
      <c r="G88" s="142">
        <v>6</v>
      </c>
      <c r="H88" s="142">
        <v>10</v>
      </c>
      <c r="I88" s="143">
        <v>15</v>
      </c>
    </row>
    <row r="90" spans="1:11" ht="19.5" x14ac:dyDescent="0.35">
      <c r="A90" s="172" t="s">
        <v>56</v>
      </c>
      <c r="B90" s="173"/>
      <c r="C90" s="173"/>
      <c r="D90" s="174">
        <f>inter(D88,$F87,[4]Bw_Clin!$B$19:$G$26)</f>
        <v>1.0432009045184796</v>
      </c>
      <c r="E90" s="175">
        <f>inter(E88,$F87,[4]Bw_Clin!$B$19:$G$26)</f>
        <v>1.075016388479874</v>
      </c>
      <c r="F90" s="175">
        <f>inter(F88,$F87,[4]Bw_Clin!$B$19:$G$26)</f>
        <v>1.1029323309017616</v>
      </c>
      <c r="G90" s="175">
        <f>inter(G88,$F87,[4]Bw_Clin!$B$19:$G$26)</f>
        <v>1.1162763856404556</v>
      </c>
      <c r="H90" s="175">
        <f>inter(H88,$F87,[4]Bw_Clin!$B$19:$G$26)</f>
        <v>1.1310210044415336</v>
      </c>
      <c r="I90" s="176">
        <f>inter(I88,$F87,[4]Bw_Clin!$B$19:$G$26)</f>
        <v>1.1361646515502166</v>
      </c>
    </row>
    <row r="91" spans="1:11" x14ac:dyDescent="0.2">
      <c r="D91" s="86"/>
      <c r="E91" s="86"/>
      <c r="F91" s="86"/>
      <c r="G91" s="86"/>
      <c r="H91" s="86"/>
      <c r="I91" s="86"/>
    </row>
    <row r="92" spans="1:11" ht="18.75" x14ac:dyDescent="0.35">
      <c r="A92" s="182" t="s">
        <v>54</v>
      </c>
      <c r="B92" s="161" t="s">
        <v>53</v>
      </c>
      <c r="C92" s="162">
        <v>9.9999999999999998E-13</v>
      </c>
      <c r="D92" s="90">
        <f>(1-inter($C92,2.25,'Att-w'!$D$22:$E$30)^2*25^2/(25+$C92)^2)*(D$90-1)+1</f>
        <v>1.0000000000000595</v>
      </c>
      <c r="E92" s="90">
        <f>(1-inter($C92,2.25,'Att-w'!$D$22:$E$30)^2*25^2/(25+$C92)^2)*(E$90-1)+1</f>
        <v>1.0000000000001033</v>
      </c>
      <c r="F92" s="90">
        <f>(1-inter($C92,2.25,'Att-w'!$D$22:$E$30)^2*25^2/(25+$C92)^2)*(F$90-1)+1</f>
        <v>1.0000000000001419</v>
      </c>
      <c r="G92" s="90">
        <f>(1-inter($C92,2.25,'Att-w'!$D$22:$E$30)^2*25^2/(25+$C92)^2)*(G$90-1)+1</f>
        <v>1.0000000000001601</v>
      </c>
      <c r="H92" s="90">
        <f>(1-inter($C92,2.25,'Att-w'!$D$22:$E$30)^2*25^2/(25+$C92)^2)*(H$90-1)+1</f>
        <v>1.0000000000001805</v>
      </c>
      <c r="I92" s="91">
        <f>(1-inter($C92,2.25,'Att-w'!$D$22:$E$30)^2*25^2/(25+$C92)^2)*(I$90-1)+1</f>
        <v>1.0000000000001876</v>
      </c>
    </row>
    <row r="93" spans="1:11" ht="15" x14ac:dyDescent="0.2">
      <c r="B93" s="166"/>
      <c r="C93" s="171">
        <v>0.5</v>
      </c>
      <c r="D93" s="88">
        <f>(1-inter($C93,2.25,'Att-w'!$D$22:$E$30)^2*25^2/(25+$C93)^2)*(D$90-1)+1</f>
        <v>1.0228379117545947</v>
      </c>
      <c r="E93" s="88">
        <f>(1-inter($C93,2.25,'Att-w'!$D$22:$E$30)^2*25^2/(25+$C93)^2)*(E$90-1)+1</f>
        <v>1.0396569858744258</v>
      </c>
      <c r="F93" s="88">
        <f>(1-inter($C93,2.25,'Att-w'!$D$22:$E$30)^2*25^2/(25+$C93)^2)*(F$90-1)+1</f>
        <v>1.0544145896024846</v>
      </c>
      <c r="G93" s="88">
        <f>(1-inter($C93,2.25,'Att-w'!$D$22:$E$30)^2*25^2/(25+$C93)^2)*(G$90-1)+1</f>
        <v>1.0614688480252548</v>
      </c>
      <c r="H93" s="88">
        <f>(1-inter($C93,2.25,'Att-w'!$D$22:$E$30)^2*25^2/(25+$C93)^2)*(H$90-1)+1</f>
        <v>1.0692635066507499</v>
      </c>
      <c r="I93" s="93">
        <f>(1-inter($C93,2.25,'Att-w'!$D$22:$E$30)^2*25^2/(25+$C93)^2)*(I$90-1)+1</f>
        <v>1.0719826663552563</v>
      </c>
    </row>
    <row r="94" spans="1:11" ht="15" x14ac:dyDescent="0.2">
      <c r="A94" s="79"/>
      <c r="B94" s="183"/>
      <c r="C94" s="184">
        <v>1</v>
      </c>
      <c r="D94" s="88">
        <f>(1-inter($C94,2.25,'Att-w'!$D$22:$E$30)^2*25^2/(25+$C94)^2)*(D$90-1)+1</f>
        <v>1.0320005209658423</v>
      </c>
      <c r="E94" s="88">
        <f>(1-inter($C94,2.25,'Att-w'!$D$22:$E$30)^2*25^2/(25+$C94)^2)*(E$90-1)+1</f>
        <v>1.0555674363555307</v>
      </c>
      <c r="F94" s="88">
        <f>(1-inter($C94,2.25,'Att-w'!$D$22:$E$30)^2*25^2/(25+$C94)^2)*(F$90-1)+1</f>
        <v>1.0762458159105406</v>
      </c>
      <c r="G94" s="88">
        <f>(1-inter($C94,2.25,'Att-w'!$D$22:$E$30)^2*25^2/(25+$C94)^2)*(G$90-1)+1</f>
        <v>1.0861302548637173</v>
      </c>
      <c r="H94" s="88">
        <f>(1-inter($C94,2.25,'Att-w'!$D$22:$E$30)^2*25^2/(25+$C94)^2)*(H$90-1)+1</f>
        <v>1.0970521438458201</v>
      </c>
      <c r="I94" s="93">
        <f>(1-inter($C94,2.25,'Att-w'!$D$22:$E$30)^2*25^2/(25+$C94)^2)*(I$90-1)+1</f>
        <v>1.1008622350690696</v>
      </c>
    </row>
    <row r="95" spans="1:11" ht="15" x14ac:dyDescent="0.2">
      <c r="A95" s="79"/>
      <c r="B95" s="166"/>
      <c r="C95" s="171">
        <v>2</v>
      </c>
      <c r="D95" s="88">
        <f>(1-inter($C95,2.25,'Att-w'!$D$22:$E$30)^2*25^2/(25+$C95)^2)*(D$90-1)+1</f>
        <v>1.0393823965109039</v>
      </c>
      <c r="E95" s="88">
        <f>(1-inter($C95,2.25,'Att-w'!$D$22:$E$30)^2*25^2/(25+$C95)^2)*(E$90-1)+1</f>
        <v>1.068385724531917</v>
      </c>
      <c r="F95" s="88">
        <f>(1-inter($C95,2.25,'Att-w'!$D$22:$E$30)^2*25^2/(25+$C95)^2)*(F$90-1)+1</f>
        <v>1.093834189689957</v>
      </c>
      <c r="G95" s="88">
        <f>(1-inter($C95,2.25,'Att-w'!$D$22:$E$30)^2*25^2/(25+$C95)^2)*(G$90-1)+1</f>
        <v>1.1059987695903075</v>
      </c>
      <c r="H95" s="88">
        <f>(1-inter($C95,2.25,'Att-w'!$D$22:$E$30)^2*25^2/(25+$C95)^2)*(H$90-1)+1</f>
        <v>1.1194401183421094</v>
      </c>
      <c r="I95" s="93">
        <f>(1-inter($C95,2.25,'Att-w'!$D$22:$E$30)^2*25^2/(25+$C95)^2)*(I$90-1)+1</f>
        <v>1.1241291208573152</v>
      </c>
    </row>
    <row r="96" spans="1:11" ht="15" x14ac:dyDescent="0.2">
      <c r="A96" s="79"/>
      <c r="B96" s="185"/>
      <c r="C96" s="186">
        <v>3</v>
      </c>
      <c r="D96" s="95">
        <f>(1-inter($C96,2.25,'Att-w'!$D$22:$E$30)^2*25^2/(25+$C96)^2)*(D$90-1)+1</f>
        <v>1.0416936710668847</v>
      </c>
      <c r="E96" s="95">
        <f>(1-inter($C96,2.25,'Att-w'!$D$22:$E$30)^2*25^2/(25+$C96)^2)*(E$90-1)+1</f>
        <v>1.0723991467485965</v>
      </c>
      <c r="F96" s="95">
        <f>(1-inter($C96,2.25,'Att-w'!$D$22:$E$30)^2*25^2/(25+$C96)^2)*(F$90-1)+1</f>
        <v>1.0993411317332487</v>
      </c>
      <c r="G96" s="95">
        <f>(1-inter($C96,2.25,'Att-w'!$D$22:$E$30)^2*25^2/(25+$C96)^2)*(G$90-1)+1</f>
        <v>1.1122196266438269</v>
      </c>
      <c r="H96" s="95">
        <f>(1-inter($C96,2.25,'Att-w'!$D$22:$E$30)^2*25^2/(25+$C96)^2)*(H$90-1)+1</f>
        <v>1.1264498214314331</v>
      </c>
      <c r="I96" s="96">
        <f>(1-inter($C96,2.25,'Att-w'!$D$22:$E$30)^2*25^2/(25+$C96)^2)*(I$90-1)+1</f>
        <v>1.1314140121821574</v>
      </c>
      <c r="K96" s="120"/>
    </row>
    <row r="97" spans="1:11" x14ac:dyDescent="0.2">
      <c r="A97" s="79"/>
    </row>
    <row r="98" spans="1:11" x14ac:dyDescent="0.2">
      <c r="A98" s="79"/>
    </row>
    <row r="99" spans="1:11" ht="15" x14ac:dyDescent="0.25">
      <c r="A99" s="159" t="s">
        <v>39</v>
      </c>
      <c r="B99" s="159"/>
      <c r="D99" s="104" t="s">
        <v>5</v>
      </c>
      <c r="E99" s="105" t="s">
        <v>49</v>
      </c>
      <c r="F99" s="106">
        <v>2.012</v>
      </c>
      <c r="G99" s="107" t="s">
        <v>50</v>
      </c>
      <c r="H99" s="107"/>
      <c r="I99" s="108"/>
    </row>
    <row r="100" spans="1:11" ht="15" x14ac:dyDescent="0.2">
      <c r="A100" s="139"/>
      <c r="B100" s="139"/>
      <c r="C100" s="140" t="s">
        <v>51</v>
      </c>
      <c r="D100" s="141">
        <v>1</v>
      </c>
      <c r="E100" s="142">
        <v>2</v>
      </c>
      <c r="F100" s="142">
        <v>4</v>
      </c>
      <c r="G100" s="142">
        <v>6</v>
      </c>
      <c r="H100" s="142">
        <v>10</v>
      </c>
      <c r="I100" s="143">
        <v>15</v>
      </c>
    </row>
    <row r="102" spans="1:11" ht="19.5" x14ac:dyDescent="0.35">
      <c r="A102" s="172" t="s">
        <v>58</v>
      </c>
      <c r="B102" s="173"/>
      <c r="C102" s="173"/>
      <c r="D102" s="174">
        <f>inter(D100,$F99,[4]Bw_Clin!$B$19:$G$26)</f>
        <v>1.0575540000000001</v>
      </c>
      <c r="E102" s="175">
        <f>inter(E100,$F99,[4]Bw_Clin!$B$19:$G$26)</f>
        <v>1.107626</v>
      </c>
      <c r="F102" s="175">
        <f>inter(F100,$F99,[4]Bw_Clin!$B$19:$G$26)</f>
        <v>1.161095</v>
      </c>
      <c r="G102" s="175">
        <f>inter(G100,$F99,[4]Bw_Clin!$B$19:$G$26)</f>
        <v>1.1937799999999998</v>
      </c>
      <c r="H102" s="175">
        <f>inter(H100,$F99,[4]Bw_Clin!$B$19:$G$26)</f>
        <v>1.237196</v>
      </c>
      <c r="I102" s="176">
        <f>inter(I100,$F99,[4]Bw_Clin!$B$19:$G$26)</f>
        <v>1.2553640000000001</v>
      </c>
    </row>
    <row r="103" spans="1:11" x14ac:dyDescent="0.2">
      <c r="D103" s="86"/>
      <c r="E103" s="86"/>
      <c r="F103" s="86"/>
      <c r="G103" s="86"/>
      <c r="H103" s="86"/>
      <c r="I103" s="86"/>
    </row>
    <row r="104" spans="1:11" ht="18.75" x14ac:dyDescent="0.35">
      <c r="A104" s="182" t="s">
        <v>54</v>
      </c>
      <c r="B104" s="161" t="s">
        <v>53</v>
      </c>
      <c r="C104" s="162">
        <v>9.9999999999999998E-13</v>
      </c>
      <c r="D104" s="89">
        <f>(1-inter($C104,3.25,'Att-w'!$G$22:$H$30)^2*25^2/(25+$C104)^2)*(D$102-1)+1</f>
        <v>1.0000000000000586</v>
      </c>
      <c r="E104" s="90">
        <f>(1-inter($C104,3.25,'Att-w'!$G$22:$H$30)^2*25^2/(25+$C104)^2)*(E$102-1)+1</f>
        <v>1.0000000000001097</v>
      </c>
      <c r="F104" s="90">
        <f>(1-inter($C104,3.25,'Att-w'!$G$22:$H$30)^2*25^2/(25+$C104)^2)*(F$102-1)+1</f>
        <v>1.0000000000001643</v>
      </c>
      <c r="G104" s="90">
        <f>(1-inter($C104,3.25,'Att-w'!$G$22:$H$30)^2*25^2/(25+$C104)^2)*(G$102-1)+1</f>
        <v>1.0000000000001976</v>
      </c>
      <c r="H104" s="90">
        <f>(1-inter($C104,3.25,'Att-w'!$G$22:$H$30)^2*25^2/(25+$C104)^2)*(H$102-1)+1</f>
        <v>1.0000000000002418</v>
      </c>
      <c r="I104" s="91">
        <f>(1-inter($C104,3.25,'Att-w'!$G$22:$H$30)^2*25^2/(25+$C104)^2)*(I$102-1)+1</f>
        <v>1.0000000000002602</v>
      </c>
    </row>
    <row r="105" spans="1:11" ht="15" x14ac:dyDescent="0.2">
      <c r="B105" s="166"/>
      <c r="C105" s="171">
        <v>0.5</v>
      </c>
      <c r="D105" s="92">
        <f>(1-inter($C105,3.25,'Att-w'!$G$22:$H$30)^2*25^2/(25+$C105)^2)*(D$102-1)+1</f>
        <v>1.025168135697069</v>
      </c>
      <c r="E105" s="88">
        <f>(1-inter($C105,3.25,'Att-w'!$G$22:$H$30)^2*25^2/(25+$C105)^2)*(E$102-1)+1</f>
        <v>1.0470644224994397</v>
      </c>
      <c r="F105" s="88">
        <f>(1-inter($C105,3.25,'Att-w'!$G$22:$H$30)^2*25^2/(25+$C105)^2)*(F$102-1)+1</f>
        <v>1.0704462039149205</v>
      </c>
      <c r="G105" s="88">
        <f>(1-inter($C105,3.25,'Att-w'!$G$22:$H$30)^2*25^2/(25+$C105)^2)*(G$102-1)+1</f>
        <v>1.0847392246477749</v>
      </c>
      <c r="H105" s="88">
        <f>(1-inter($C105,3.25,'Att-w'!$G$22:$H$30)^2*25^2/(25+$C105)^2)*(H$102-1)+1</f>
        <v>1.1037248690760328</v>
      </c>
      <c r="I105" s="93">
        <f>(1-inter($C105,3.25,'Att-w'!$G$22:$H$30)^2*25^2/(25+$C105)^2)*(I$102-1)+1</f>
        <v>1.1116696633447953</v>
      </c>
    </row>
    <row r="106" spans="1:11" ht="15" x14ac:dyDescent="0.2">
      <c r="B106" s="166"/>
      <c r="C106" s="171">
        <v>1</v>
      </c>
      <c r="D106" s="92">
        <f>(1-inter($C106,3.25,'Att-w'!$G$22:$H$30)^2*25^2/(25+$C106)^2)*(D$102-1)+1</f>
        <v>1.0385528626999425</v>
      </c>
      <c r="E106" s="88">
        <f>(1-inter($C106,3.25,'Att-w'!$G$22:$H$30)^2*25^2/(25+$C106)^2)*(E$102-1)+1</f>
        <v>1.0720938666460023</v>
      </c>
      <c r="F106" s="88">
        <f>(1-inter($C106,3.25,'Att-w'!$G$22:$H$30)^2*25^2/(25+$C106)^2)*(F$102-1)+1</f>
        <v>1.1079103696814685</v>
      </c>
      <c r="G106" s="88">
        <f>(1-inter($C106,3.25,'Att-w'!$G$22:$H$30)^2*25^2/(25+$C106)^2)*(G$102-1)+1</f>
        <v>1.1298045962747134</v>
      </c>
      <c r="H106" s="88">
        <f>(1-inter($C106,3.25,'Att-w'!$G$22:$H$30)^2*25^2/(25+$C106)^2)*(H$102-1)+1</f>
        <v>1.158887042099169</v>
      </c>
      <c r="I106" s="93">
        <f>(1-inter($C106,3.25,'Att-w'!$G$22:$H$30)^2*25^2/(25+$C106)^2)*(I$102-1)+1</f>
        <v>1.1710569765873464</v>
      </c>
    </row>
    <row r="107" spans="1:11" ht="15" x14ac:dyDescent="0.2">
      <c r="A107" s="79"/>
      <c r="B107" s="168"/>
      <c r="C107" s="171">
        <v>2</v>
      </c>
      <c r="D107" s="92">
        <f>(1-inter($C107,3.25,'Att-w'!$G$22:$H$30)^2*25^2/(25+$C107)^2)*(D$102-1)+1</f>
        <v>1.0496239673468328</v>
      </c>
      <c r="E107" s="88">
        <f>(1-inter($C107,3.25,'Att-w'!$G$22:$H$30)^2*25^2/(25+$C107)^2)*(E$102-1)+1</f>
        <v>1.0927968361828928</v>
      </c>
      <c r="F107" s="88">
        <f>(1-inter($C107,3.25,'Att-w'!$G$22:$H$30)^2*25^2/(25+$C107)^2)*(F$102-1)+1</f>
        <v>1.138898652043959</v>
      </c>
      <c r="G107" s="88">
        <f>(1-inter($C107,3.25,'Att-w'!$G$22:$H$30)^2*25^2/(25+$C107)^2)*(G$102-1)+1</f>
        <v>1.1670801750090216</v>
      </c>
      <c r="H107" s="88">
        <f>(1-inter($C107,3.25,'Att-w'!$G$22:$H$30)^2*25^2/(25+$C107)^2)*(H$102-1)+1</f>
        <v>1.2045141355735367</v>
      </c>
      <c r="I107" s="93">
        <f>(1-inter($C107,3.25,'Att-w'!$G$22:$H$30)^2*25^2/(25+$C107)^2)*(I$102-1)+1</f>
        <v>1.2201788719733919</v>
      </c>
    </row>
    <row r="108" spans="1:11" ht="15" x14ac:dyDescent="0.2">
      <c r="A108" s="79"/>
      <c r="B108" s="168"/>
      <c r="C108" s="171">
        <v>3</v>
      </c>
      <c r="D108" s="92">
        <f>(1-inter($C108,3.25,'Att-w'!$G$22:$H$30)^2*25^2/(25+$C108)^2)*(D$102-1)+1</f>
        <v>1.053566591005261</v>
      </c>
      <c r="E108" s="88">
        <f>(1-inter($C108,3.25,'Att-w'!$G$22:$H$30)^2*25^2/(25+$C108)^2)*(E$102-1)+1</f>
        <v>1.1001695437942143</v>
      </c>
      <c r="F108" s="88">
        <f>(1-inter($C108,3.25,'Att-w'!$G$22:$H$30)^2*25^2/(25+$C108)^2)*(F$102-1)+1</f>
        <v>1.1499341484170083</v>
      </c>
      <c r="G108" s="88">
        <f>(1-inter($C108,3.25,'Att-w'!$G$22:$H$30)^2*25^2/(25+$C108)^2)*(G$102-1)+1</f>
        <v>1.1803546930708455</v>
      </c>
      <c r="H108" s="88">
        <f>(1-inter($C108,3.25,'Att-w'!$G$22:$H$30)^2*25^2/(25+$C108)^2)*(H$102-1)+1</f>
        <v>1.2207627813893709</v>
      </c>
      <c r="I108" s="93">
        <f>(1-inter($C108,3.25,'Att-w'!$G$22:$H$30)^2*25^2/(25+$C108)^2)*(I$102-1)+1</f>
        <v>1.2376720809234361</v>
      </c>
    </row>
    <row r="109" spans="1:11" ht="15" x14ac:dyDescent="0.2">
      <c r="A109" s="79"/>
      <c r="B109" s="168"/>
      <c r="C109" s="171">
        <v>4</v>
      </c>
      <c r="D109" s="92">
        <f>(1-inter($C109,3.25,'Att-w'!$G$22:$H$30)^2*25^2/(25+$C109)^2)*(D$102-1)+1</f>
        <v>1.0555900223775696</v>
      </c>
      <c r="E109" s="88">
        <f>(1-inter($C109,3.25,'Att-w'!$G$22:$H$30)^2*25^2/(25+$C109)^2)*(E$102-1)+1</f>
        <v>1.1039533611635735</v>
      </c>
      <c r="F109" s="88">
        <f>(1-inter($C109,3.25,'Att-w'!$G$22:$H$30)^2*25^2/(25+$C109)^2)*(F$102-1)+1</f>
        <v>1.1555977804308053</v>
      </c>
      <c r="G109" s="88">
        <f>(1-inter($C109,3.25,'Att-w'!$G$22:$H$30)^2*25^2/(25+$C109)^2)*(G$102-1)+1</f>
        <v>1.1871674346930781</v>
      </c>
      <c r="H109" s="88">
        <f>(1-inter($C109,3.25,'Att-w'!$G$22:$H$30)^2*25^2/(25+$C109)^2)*(H$102-1)+1</f>
        <v>1.2291019033928134</v>
      </c>
      <c r="I109" s="93">
        <f>(1-inter($C109,3.25,'Att-w'!$G$22:$H$30)^2*25^2/(25+$C109)^2)*(I$102-1)+1</f>
        <v>1.2466499370056934</v>
      </c>
    </row>
    <row r="110" spans="1:11" ht="15" x14ac:dyDescent="0.2">
      <c r="A110" s="79"/>
      <c r="B110" s="169"/>
      <c r="C110" s="164">
        <v>5</v>
      </c>
      <c r="D110" s="94">
        <f>(1-inter($C110,3.25,'Att-w'!$G$22:$H$30)^2*25^2/(25+$C110)^2)*(D$102-1)+1</f>
        <v>1.0565383726654447</v>
      </c>
      <c r="E110" s="95">
        <f>(1-inter($C110,3.25,'Att-w'!$G$22:$H$30)^2*25^2/(25+$C110)^2)*(E$102-1)+1</f>
        <v>1.1057267765314511</v>
      </c>
      <c r="F110" s="95">
        <f>(1-inter($C110,3.25,'Att-w'!$G$22:$H$30)^2*25^2/(25+$C110)^2)*(F$102-1)+1</f>
        <v>1.1582522351972024</v>
      </c>
      <c r="G110" s="95">
        <f>(1-inter($C110,3.25,'Att-w'!$G$22:$H$30)^2*25^2/(25+$C110)^2)*(G$102-1)+1</f>
        <v>1.1903604589621892</v>
      </c>
      <c r="H110" s="95">
        <f>(1-inter($C110,3.25,'Att-w'!$G$22:$H$30)^2*25^2/(25+$C110)^2)*(H$102-1)+1</f>
        <v>1.2330103180100911</v>
      </c>
      <c r="I110" s="96">
        <f>(1-inter($C110,3.25,'Att-w'!$G$22:$H$30)^2*25^2/(25+$C110)^2)*(I$102-1)+1</f>
        <v>1.2508577161854708</v>
      </c>
      <c r="K110" s="120"/>
    </row>
    <row r="111" spans="1:11" ht="15" x14ac:dyDescent="0.2">
      <c r="A111" s="79"/>
      <c r="B111" s="97"/>
      <c r="C111" s="98"/>
      <c r="D111" s="88"/>
      <c r="E111" s="88"/>
      <c r="F111" s="88"/>
      <c r="G111" s="88"/>
      <c r="H111" s="88"/>
      <c r="I111" s="88"/>
    </row>
    <row r="112" spans="1:11" x14ac:dyDescent="0.2">
      <c r="A112" s="79"/>
    </row>
    <row r="113" spans="1:11" ht="21" x14ac:dyDescent="0.35">
      <c r="A113" s="2" t="s">
        <v>60</v>
      </c>
    </row>
    <row r="115" spans="1:11" x14ac:dyDescent="0.2">
      <c r="A115" s="79"/>
    </row>
    <row r="116" spans="1:11" ht="15" x14ac:dyDescent="0.25">
      <c r="A116" s="159" t="s">
        <v>39</v>
      </c>
      <c r="B116" s="159"/>
      <c r="D116" s="134" t="s">
        <v>6</v>
      </c>
      <c r="E116" s="135" t="s">
        <v>49</v>
      </c>
      <c r="F116" s="136">
        <v>2.6059999999999999</v>
      </c>
      <c r="G116" s="137" t="s">
        <v>50</v>
      </c>
      <c r="H116" s="137"/>
      <c r="I116" s="138"/>
    </row>
    <row r="117" spans="1:11" ht="15" x14ac:dyDescent="0.2">
      <c r="A117" s="139"/>
      <c r="B117" s="139"/>
      <c r="C117" s="140" t="s">
        <v>51</v>
      </c>
      <c r="D117" s="141">
        <v>1</v>
      </c>
      <c r="E117" s="142">
        <v>2</v>
      </c>
      <c r="F117" s="142">
        <v>4</v>
      </c>
      <c r="G117" s="142">
        <v>6</v>
      </c>
      <c r="H117" s="142">
        <v>10</v>
      </c>
      <c r="I117" s="143">
        <v>15</v>
      </c>
    </row>
    <row r="119" spans="1:11" ht="19.5" x14ac:dyDescent="0.35">
      <c r="A119" s="172" t="s">
        <v>59</v>
      </c>
      <c r="B119" s="173"/>
      <c r="C119" s="173"/>
      <c r="D119" s="174">
        <f>inter(D117,$F116,[4]Bw_Clin!$B$19:$G$26)</f>
        <v>1.0602247779700171</v>
      </c>
      <c r="E119" s="175">
        <f>inter(E117,$F116,[4]Bw_Clin!$B$19:$G$26)</f>
        <v>1.1138600740882423</v>
      </c>
      <c r="F119" s="175">
        <f>inter(F117,$F116,[4]Bw_Clin!$B$19:$G$26)</f>
        <v>1.1781655333594181</v>
      </c>
      <c r="G119" s="175">
        <f>inter(G117,$F116,[4]Bw_Clin!$B$19:$G$26)</f>
        <v>1.2175320266208656</v>
      </c>
      <c r="H119" s="175">
        <f>inter(H117,$F116,[4]Bw_Clin!$B$19:$G$26)</f>
        <v>1.2716384803622047</v>
      </c>
      <c r="I119" s="176">
        <f>inter(I117,$F116,[4]Bw_Clin!$B$19:$G$26)</f>
        <v>1.2981215824501311</v>
      </c>
    </row>
    <row r="120" spans="1:11" x14ac:dyDescent="0.2">
      <c r="D120" s="86"/>
      <c r="E120" s="86"/>
      <c r="F120" s="86"/>
      <c r="G120" s="86"/>
      <c r="H120" s="86"/>
      <c r="I120" s="86"/>
    </row>
    <row r="121" spans="1:11" ht="18.75" x14ac:dyDescent="0.35">
      <c r="A121" s="182" t="s">
        <v>54</v>
      </c>
      <c r="B121" s="161" t="s">
        <v>53</v>
      </c>
      <c r="C121" s="165">
        <v>9.9999999999999998E-13</v>
      </c>
      <c r="D121" s="89">
        <f>(1-inter($C121,4.25,'Att-w'!$J$22:$K$30)^2*25^2/(25+$C121)^2)*(D$119-1)+1</f>
        <v>1.0000000000000548</v>
      </c>
      <c r="E121" s="90">
        <f>(1-inter($C121,4.25,'Att-w'!$J$22:$K$30)^2*25^2/(25+$C121)^2)*(E$119-1)+1</f>
        <v>1.0000000000001037</v>
      </c>
      <c r="F121" s="90">
        <f>(1-inter($C121,4.25,'Att-w'!$J$22:$K$30)^2*25^2/(25+$C121)^2)*(F$119-1)+1</f>
        <v>1.0000000000001621</v>
      </c>
      <c r="G121" s="90">
        <f>(1-inter($C121,4.25,'Att-w'!$J$22:$K$30)^2*25^2/(25+$C121)^2)*(G$119-1)+1</f>
        <v>1.0000000000001981</v>
      </c>
      <c r="H121" s="90">
        <f>(1-inter($C121,4.25,'Att-w'!$J$22:$K$30)^2*25^2/(25+$C121)^2)*(H$119-1)+1</f>
        <v>1.0000000000002471</v>
      </c>
      <c r="I121" s="91">
        <f>(1-inter($C121,4.25,'Att-w'!$J$22:$K$30)^2*25^2/(25+$C121)^2)*(I$119-1)+1</f>
        <v>1.0000000000002713</v>
      </c>
    </row>
    <row r="122" spans="1:11" ht="15" x14ac:dyDescent="0.2">
      <c r="B122" s="166"/>
      <c r="C122" s="167">
        <v>0.5</v>
      </c>
      <c r="D122" s="92">
        <f>(1-inter($C122,4.25,'Att-w'!$J$22:$K$30)^2*25^2/(25+$C122)^2)*(D$119-1)+1</f>
        <v>1.0238748140120255</v>
      </c>
      <c r="E122" s="88">
        <f>(1-inter($C122,4.25,'Att-w'!$J$22:$K$30)^2*25^2/(25+$C122)^2)*(E$119-1)+1</f>
        <v>1.0451373700971647</v>
      </c>
      <c r="F122" s="88">
        <f>(1-inter($C122,4.25,'Att-w'!$J$22:$K$30)^2*25^2/(25+$C122)^2)*(F$119-1)+1</f>
        <v>1.0706298821795095</v>
      </c>
      <c r="G122" s="88">
        <f>(1-inter($C122,4.25,'Att-w'!$J$22:$K$30)^2*25^2/(25+$C122)^2)*(G$119-1)+1</f>
        <v>1.0862358791894218</v>
      </c>
      <c r="H122" s="88">
        <f>(1-inter($C122,4.25,'Att-w'!$J$22:$K$30)^2*25^2/(25+$C122)^2)*(H$119-1)+1</f>
        <v>1.1076852155500778</v>
      </c>
      <c r="I122" s="93">
        <f>(1-inter($C122,4.25,'Att-w'!$J$22:$K$30)^2*25^2/(25+$C122)^2)*(I$119-1)+1</f>
        <v>1.118183870059448</v>
      </c>
    </row>
    <row r="123" spans="1:11" ht="15" x14ac:dyDescent="0.2">
      <c r="B123" s="166"/>
      <c r="C123" s="167">
        <v>1</v>
      </c>
      <c r="D123" s="92">
        <f>(1-inter($C123,4.25,'Att-w'!$J$22:$K$30)^2*25^2/(25+$C123)^2)*(D$119-1)+1</f>
        <v>1.0379385616158121</v>
      </c>
      <c r="E123" s="88">
        <f>(1-inter($C123,4.25,'Att-w'!$J$22:$K$30)^2*25^2/(25+$C123)^2)*(E$119-1)+1</f>
        <v>1.0717260832165834</v>
      </c>
      <c r="F123" s="88">
        <f>(1-inter($C123,4.25,'Att-w'!$J$22:$K$30)^2*25^2/(25+$C123)^2)*(F$119-1)+1</f>
        <v>1.1122352674929816</v>
      </c>
      <c r="G123" s="88">
        <f>(1-inter($C123,4.25,'Att-w'!$J$22:$K$30)^2*25^2/(25+$C123)^2)*(G$119-1)+1</f>
        <v>1.137034165563497</v>
      </c>
      <c r="H123" s="88">
        <f>(1-inter($C123,4.25,'Att-w'!$J$22:$K$30)^2*25^2/(25+$C123)^2)*(H$119-1)+1</f>
        <v>1.1711184926174023</v>
      </c>
      <c r="I123" s="93">
        <f>(1-inter($C123,4.25,'Att-w'!$J$22:$K$30)^2*25^2/(25+$C123)^2)*(I$119-1)+1</f>
        <v>1.1878015063902523</v>
      </c>
    </row>
    <row r="124" spans="1:11" ht="15" x14ac:dyDescent="0.2">
      <c r="A124" s="79"/>
      <c r="B124" s="166"/>
      <c r="C124" s="167">
        <v>2</v>
      </c>
      <c r="D124" s="92">
        <f>(1-inter($C124,4.25,'Att-w'!$J$22:$K$30)^2*25^2/(25+$C124)^2)*(D$119-1)+1</f>
        <v>1.0502093056031541</v>
      </c>
      <c r="E124" s="88">
        <f>(1-inter($C124,4.25,'Att-w'!$J$22:$K$30)^2*25^2/(25+$C124)^2)*(E$119-1)+1</f>
        <v>1.0949249702297028</v>
      </c>
      <c r="F124" s="88">
        <f>(1-inter($C124,4.25,'Att-w'!$J$22:$K$30)^2*25^2/(25+$C124)^2)*(F$119-1)+1</f>
        <v>1.1485363336141401</v>
      </c>
      <c r="G124" s="88">
        <f>(1-inter($C124,4.25,'Att-w'!$J$22:$K$30)^2*25^2/(25+$C124)^2)*(G$119-1)+1</f>
        <v>1.1813561190465174</v>
      </c>
      <c r="H124" s="88">
        <f>(1-inter($C124,4.25,'Att-w'!$J$22:$K$30)^2*25^2/(25+$C124)^2)*(H$119-1)+1</f>
        <v>1.2264645870653503</v>
      </c>
      <c r="I124" s="93">
        <f>(1-inter($C124,4.25,'Att-w'!$J$22:$K$30)^2*25^2/(25+$C124)^2)*(I$119-1)+1</f>
        <v>1.2485435089123385</v>
      </c>
    </row>
    <row r="125" spans="1:11" ht="15" x14ac:dyDescent="0.2">
      <c r="A125" s="79"/>
      <c r="B125" s="166"/>
      <c r="C125" s="167">
        <v>3</v>
      </c>
      <c r="D125" s="92">
        <f>(1-inter($C125,4.25,'Att-w'!$J$22:$K$30)^2*25^2/(25+$C125)^2)*(D$119-1)+1</f>
        <v>1.0550919745080862</v>
      </c>
      <c r="E125" s="88">
        <f>(1-inter($C125,4.25,'Att-w'!$J$22:$K$30)^2*25^2/(25+$C125)^2)*(E$119-1)+1</f>
        <v>1.1041560718128536</v>
      </c>
      <c r="F125" s="88">
        <f>(1-inter($C125,4.25,'Att-w'!$J$22:$K$30)^2*25^2/(25+$C125)^2)*(F$119-1)+1</f>
        <v>1.1629809416141526</v>
      </c>
      <c r="G125" s="88">
        <f>(1-inter($C125,4.25,'Att-w'!$J$22:$K$30)^2*25^2/(25+$C125)^2)*(G$119-1)+1</f>
        <v>1.1989923295567055</v>
      </c>
      <c r="H125" s="88">
        <f>(1-inter($C125,4.25,'Att-w'!$J$22:$K$30)^2*25^2/(25+$C125)^2)*(H$119-1)+1</f>
        <v>1.2484874289280112</v>
      </c>
      <c r="I125" s="93">
        <f>(1-inter($C125,4.25,'Att-w'!$J$22:$K$30)^2*25^2/(25+$C125)^2)*(I$119-1)+1</f>
        <v>1.2727134441048451</v>
      </c>
    </row>
    <row r="126" spans="1:11" ht="15" x14ac:dyDescent="0.2">
      <c r="A126" s="79"/>
      <c r="B126" s="166"/>
      <c r="C126" s="167">
        <v>4</v>
      </c>
      <c r="D126" s="92">
        <f>(1-inter($C126,4.25,'Att-w'!$J$22:$K$30)^2*25^2/(25+$C126)^2)*(D$119-1)+1</f>
        <v>1.0574929802912276</v>
      </c>
      <c r="E126" s="88">
        <f>(1-inter($C126,4.25,'Att-w'!$J$22:$K$30)^2*25^2/(25+$C126)^2)*(E$119-1)+1</f>
        <v>1.1086953778189441</v>
      </c>
      <c r="F126" s="88">
        <f>(1-inter($C126,4.25,'Att-w'!$J$22:$K$30)^2*25^2/(25+$C126)^2)*(F$119-1)+1</f>
        <v>1.1700839395889298</v>
      </c>
      <c r="G126" s="88">
        <f>(1-inter($C126,4.25,'Att-w'!$J$22:$K$30)^2*25^2/(25+$C126)^2)*(G$119-1)+1</f>
        <v>1.2076647675720886</v>
      </c>
      <c r="H126" s="88">
        <f>(1-inter($C126,4.25,'Att-w'!$J$22:$K$30)^2*25^2/(25+$C126)^2)*(H$119-1)+1</f>
        <v>1.2593169509994433</v>
      </c>
      <c r="I126" s="93">
        <f>(1-inter($C126,4.25,'Att-w'!$J$22:$K$30)^2*25^2/(25+$C126)^2)*(I$119-1)+1</f>
        <v>1.2845987788070898</v>
      </c>
    </row>
    <row r="127" spans="1:11" ht="15" x14ac:dyDescent="0.2">
      <c r="A127" s="79"/>
      <c r="B127" s="166"/>
      <c r="C127" s="167">
        <v>5</v>
      </c>
      <c r="D127" s="92">
        <f>(1-inter($C127,4.25,'Att-w'!$J$22:$K$30)^2*25^2/(25+$C127)^2)*(D$119-1)+1</f>
        <v>1.0587589731584093</v>
      </c>
      <c r="E127" s="88">
        <f>(1-inter($C127,4.25,'Att-w'!$J$22:$K$30)^2*25^2/(25+$C127)^2)*(E$119-1)+1</f>
        <v>1.111088845200829</v>
      </c>
      <c r="F127" s="88">
        <f>(1-inter($C127,4.25,'Att-w'!$J$22:$K$30)^2*25^2/(25+$C127)^2)*(F$119-1)+1</f>
        <v>1.1738291803687781</v>
      </c>
      <c r="G127" s="88">
        <f>(1-inter($C127,4.25,'Att-w'!$J$22:$K$30)^2*25^2/(25+$C127)^2)*(G$119-1)+1</f>
        <v>1.2122375365115221</v>
      </c>
      <c r="H127" s="88">
        <f>(1-inter($C127,4.25,'Att-w'!$J$22:$K$30)^2*25^2/(25+$C127)^2)*(H$119-1)+1</f>
        <v>1.2650270987190715</v>
      </c>
      <c r="I127" s="93">
        <f>(1-inter($C127,4.25,'Att-w'!$J$22:$K$30)^2*25^2/(25+$C127)^2)*(I$119-1)+1</f>
        <v>1.2908656312498279</v>
      </c>
    </row>
    <row r="128" spans="1:11" ht="15" x14ac:dyDescent="0.2">
      <c r="A128" s="79"/>
      <c r="B128" s="163"/>
      <c r="C128" s="170">
        <v>6</v>
      </c>
      <c r="D128" s="94">
        <f>(1-inter($C128,4.25,'Att-w'!$J$22:$K$30)^2*25^2/(25+$C128)^2)*(D$119-1)+1</f>
        <v>1.0595893828941223</v>
      </c>
      <c r="E128" s="95">
        <f>(1-inter($C128,4.25,'Att-w'!$J$22:$K$30)^2*25^2/(25+$C128)^2)*(E$119-1)+1</f>
        <v>1.1126588055596522</v>
      </c>
      <c r="F128" s="95">
        <f>(1-inter($C128,4.25,'Att-w'!$J$22:$K$30)^2*25^2/(25+$C128)^2)*(F$119-1)+1</f>
        <v>1.1762858169635</v>
      </c>
      <c r="G128" s="95">
        <f>(1-inter($C128,4.25,'Att-w'!$J$22:$K$30)^2*25^2/(25+$C128)^2)*(G$119-1)+1</f>
        <v>1.2152369782500247</v>
      </c>
      <c r="H128" s="95">
        <f>(1-inter($C128,4.25,'Att-w'!$J$22:$K$30)^2*25^2/(25+$C128)^2)*(H$119-1)+1</f>
        <v>1.2687725876405802</v>
      </c>
      <c r="I128" s="96">
        <f>(1-inter($C128,4.25,'Att-w'!$J$22:$K$30)^2*25^2/(25+$C128)^2)*(I$119-1)+1</f>
        <v>1.2949762825936315</v>
      </c>
      <c r="K128" s="120"/>
    </row>
    <row r="129" spans="1:11" x14ac:dyDescent="0.2">
      <c r="A129" s="79"/>
    </row>
    <row r="130" spans="1:11" x14ac:dyDescent="0.2">
      <c r="A130" s="79"/>
    </row>
    <row r="131" spans="1:11" ht="15" x14ac:dyDescent="0.25">
      <c r="A131" s="159" t="s">
        <v>39</v>
      </c>
      <c r="B131" s="159"/>
      <c r="D131" s="115" t="s">
        <v>7</v>
      </c>
      <c r="E131" s="116" t="s">
        <v>49</v>
      </c>
      <c r="F131" s="117">
        <v>4.0209999999999999</v>
      </c>
      <c r="G131" s="118" t="s">
        <v>50</v>
      </c>
      <c r="H131" s="118"/>
      <c r="I131" s="119"/>
    </row>
    <row r="132" spans="1:11" ht="15" x14ac:dyDescent="0.2">
      <c r="A132" s="139"/>
      <c r="B132" s="139"/>
      <c r="C132" s="140" t="s">
        <v>51</v>
      </c>
      <c r="D132" s="141">
        <v>1</v>
      </c>
      <c r="E132" s="142">
        <v>2</v>
      </c>
      <c r="F132" s="142">
        <v>4</v>
      </c>
      <c r="G132" s="142">
        <v>6</v>
      </c>
      <c r="H132" s="142">
        <v>10</v>
      </c>
      <c r="I132" s="143">
        <v>15</v>
      </c>
    </row>
    <row r="134" spans="1:11" ht="19.5" x14ac:dyDescent="0.35">
      <c r="A134" s="172" t="s">
        <v>59</v>
      </c>
      <c r="B134" s="173"/>
      <c r="C134" s="173"/>
      <c r="D134" s="174">
        <f>inter(D132,$F131,[4]Bw_Clin!$B$19:$G$26)</f>
        <v>1.0599662469392772</v>
      </c>
      <c r="E134" s="175">
        <f>inter(E132,$F131,[4]Bw_Clin!$B$19:$G$26)</f>
        <v>1.1199925873632974</v>
      </c>
      <c r="F134" s="175">
        <f>inter(F132,$F131,[4]Bw_Clin!$B$19:$G$26)</f>
        <v>1.1980724567144239</v>
      </c>
      <c r="G134" s="175">
        <f>inter(G132,$F131,[4]Bw_Clin!$B$19:$G$26)</f>
        <v>1.2503556338738888</v>
      </c>
      <c r="H134" s="175">
        <f>inter(H132,$F131,[4]Bw_Clin!$B$19:$G$26)</f>
        <v>1.3253211876958195</v>
      </c>
      <c r="I134" s="176">
        <f>inter(I132,$F131,[4]Bw_Clin!$B$19:$G$26)</f>
        <v>1.3689367411872508</v>
      </c>
    </row>
    <row r="135" spans="1:11" x14ac:dyDescent="0.2">
      <c r="D135" s="86"/>
      <c r="E135" s="86"/>
      <c r="F135" s="86"/>
      <c r="G135" s="86"/>
      <c r="H135" s="86"/>
      <c r="I135" s="86"/>
    </row>
    <row r="136" spans="1:11" ht="18.75" x14ac:dyDescent="0.35">
      <c r="A136" s="182" t="s">
        <v>54</v>
      </c>
      <c r="B136" s="161" t="s">
        <v>53</v>
      </c>
      <c r="C136" s="165">
        <v>9.9999999999999998E-13</v>
      </c>
      <c r="D136" s="89">
        <f>(1-inter($C136,5.25,'Att-w'!$M$22:$N$30)^2*25^2/(25+$C136)^2)*(D$134-1)+1</f>
        <v>1.0000000000000446</v>
      </c>
      <c r="E136" s="90">
        <f>(1-inter($C136,5.25,'Att-w'!$M$22:$N$30)^2*25^2/(25+$C136)^2)*(E$134-1)+1</f>
        <v>1.0000000000000893</v>
      </c>
      <c r="F136" s="90">
        <f>(1-inter($C136,5.25,'Att-w'!$M$22:$N$30)^2*25^2/(25+$C136)^2)*(F$134-1)+1</f>
        <v>1.0000000000001474</v>
      </c>
      <c r="G136" s="90">
        <f>(1-inter($C136,5.25,'Att-w'!$M$22:$N$30)^2*25^2/(25+$C136)^2)*(G$134-1)+1</f>
        <v>1.0000000000001863</v>
      </c>
      <c r="H136" s="90">
        <f>(1-inter($C136,5.25,'Att-w'!$M$22:$N$30)^2*25^2/(25+$C136)^2)*(H$134-1)+1</f>
        <v>1.000000000000242</v>
      </c>
      <c r="I136" s="91">
        <f>(1-inter($C136,5.25,'Att-w'!$M$22:$N$30)^2*25^2/(25+$C136)^2)*(I$134-1)+1</f>
        <v>1.0000000000002744</v>
      </c>
    </row>
    <row r="137" spans="1:11" ht="15" x14ac:dyDescent="0.2">
      <c r="B137" s="166"/>
      <c r="C137" s="167">
        <v>0.5</v>
      </c>
      <c r="D137" s="92">
        <f>(1-inter($C137,5.25,'Att-w'!$M$22:$N$30)^2*25^2/(25+$C137)^2)*(D$134-1)+1</f>
        <v>1.0198872446143679</v>
      </c>
      <c r="E137" s="88">
        <f>(1-inter($C137,5.25,'Att-w'!$M$22:$N$30)^2*25^2/(25+$C137)^2)*(E$134-1)+1</f>
        <v>1.039794418670577</v>
      </c>
      <c r="F137" s="88">
        <f>(1-inter($C137,5.25,'Att-w'!$M$22:$N$30)^2*25^2/(25+$C137)^2)*(F$134-1)+1</f>
        <v>1.0656888766448458</v>
      </c>
      <c r="G137" s="88">
        <f>(1-inter($C137,5.25,'Att-w'!$M$22:$N$30)^2*25^2/(25+$C137)^2)*(G$134-1)+1</f>
        <v>1.0830281030673281</v>
      </c>
      <c r="H137" s="88">
        <f>(1-inter($C137,5.25,'Att-w'!$M$22:$N$30)^2*25^2/(25+$C137)^2)*(H$134-1)+1</f>
        <v>1.1078897274410855</v>
      </c>
      <c r="I137" s="93">
        <f>(1-inter($C137,5.25,'Att-w'!$M$22:$N$30)^2*25^2/(25+$C137)^2)*(I$134-1)+1</f>
        <v>1.1223544175884193</v>
      </c>
    </row>
    <row r="138" spans="1:11" ht="15" x14ac:dyDescent="0.2">
      <c r="B138" s="166"/>
      <c r="C138" s="167">
        <v>1</v>
      </c>
      <c r="D138" s="92">
        <f>(1-inter($C138,5.25,'Att-w'!$M$22:$N$30)^2*25^2/(25+$C138)^2)*(D$134-1)+1</f>
        <v>1.0328161458066352</v>
      </c>
      <c r="E138" s="88">
        <f>(1-inter($C138,5.25,'Att-w'!$M$22:$N$30)^2*25^2/(25+$C138)^2)*(E$134-1)+1</f>
        <v>1.065665177389153</v>
      </c>
      <c r="F138" s="88">
        <f>(1-inter($C138,5.25,'Att-w'!$M$22:$N$30)^2*25^2/(25+$C138)^2)*(F$134-1)+1</f>
        <v>1.108393887421385</v>
      </c>
      <c r="G138" s="88">
        <f>(1-inter($C138,5.25,'Att-w'!$M$22:$N$30)^2*25^2/(25+$C138)^2)*(G$134-1)+1</f>
        <v>1.1370055223405509</v>
      </c>
      <c r="H138" s="88">
        <f>(1-inter($C138,5.25,'Att-w'!$M$22:$N$30)^2*25^2/(25+$C138)^2)*(H$134-1)+1</f>
        <v>1.1780299430815513</v>
      </c>
      <c r="I138" s="93">
        <f>(1-inter($C138,5.25,'Att-w'!$M$22:$N$30)^2*25^2/(25+$C138)^2)*(I$134-1)+1</f>
        <v>1.2018982762834149</v>
      </c>
    </row>
    <row r="139" spans="1:11" ht="15" x14ac:dyDescent="0.2">
      <c r="A139" s="79"/>
      <c r="B139" s="166"/>
      <c r="C139" s="167">
        <v>2</v>
      </c>
      <c r="D139" s="92">
        <f>(1-inter($C139,5.25,'Att-w'!$M$22:$N$30)^2*25^2/(25+$C139)^2)*(D$134-1)+1</f>
        <v>1.0459124326425391</v>
      </c>
      <c r="E139" s="88">
        <f>(1-inter($C139,5.25,'Att-w'!$M$22:$N$30)^2*25^2/(25+$C139)^2)*(E$134-1)+1</f>
        <v>1.0918708751358082</v>
      </c>
      <c r="F139" s="88">
        <f>(1-inter($C139,5.25,'Att-w'!$M$22:$N$30)^2*25^2/(25+$C139)^2)*(F$134-1)+1</f>
        <v>1.1516517839852798</v>
      </c>
      <c r="G139" s="88">
        <f>(1-inter($C139,5.25,'Att-w'!$M$22:$N$30)^2*25^2/(25+$C139)^2)*(G$134-1)+1</f>
        <v>1.1916817670539652</v>
      </c>
      <c r="H139" s="88">
        <f>(1-inter($C139,5.25,'Att-w'!$M$22:$N$30)^2*25^2/(25+$C139)^2)*(H$134-1)+1</f>
        <v>1.2490782378360255</v>
      </c>
      <c r="I139" s="93">
        <f>(1-inter($C139,5.25,'Att-w'!$M$22:$N$30)^2*25^2/(25+$C139)^2)*(I$134-1)+1</f>
        <v>1.2824719595386718</v>
      </c>
    </row>
    <row r="140" spans="1:11" ht="15" x14ac:dyDescent="0.2">
      <c r="A140" s="79"/>
      <c r="B140" s="166"/>
      <c r="C140" s="167">
        <v>3</v>
      </c>
      <c r="D140" s="92">
        <f>(1-inter($C140,5.25,'Att-w'!$M$22:$N$30)^2*25^2/(25+$C140)^2)*(D$134-1)+1</f>
        <v>1.0526417899960288</v>
      </c>
      <c r="E140" s="88">
        <f>(1-inter($C140,5.25,'Att-w'!$M$22:$N$30)^2*25^2/(25+$C140)^2)*(E$134-1)+1</f>
        <v>1.1053363334786508</v>
      </c>
      <c r="F140" s="88">
        <f>(1-inter($C140,5.25,'Att-w'!$M$22:$N$30)^2*25^2/(25+$C140)^2)*(F$134-1)+1</f>
        <v>1.1738792938120108</v>
      </c>
      <c r="G140" s="88">
        <f>(1-inter($C140,5.25,'Att-w'!$M$22:$N$30)^2*25^2/(25+$C140)^2)*(G$134-1)+1</f>
        <v>1.2197764471746471</v>
      </c>
      <c r="H140" s="88">
        <f>(1-inter($C140,5.25,'Att-w'!$M$22:$N$30)^2*25^2/(25+$C140)^2)*(H$134-1)+1</f>
        <v>1.2855854838019714</v>
      </c>
      <c r="I140" s="93">
        <f>(1-inter($C140,5.25,'Att-w'!$M$22:$N$30)^2*25^2/(25+$C140)^2)*(I$134-1)+1</f>
        <v>1.3238737030027068</v>
      </c>
    </row>
    <row r="141" spans="1:11" ht="15" x14ac:dyDescent="0.2">
      <c r="A141" s="79"/>
      <c r="B141" s="166"/>
      <c r="C141" s="167">
        <v>4</v>
      </c>
      <c r="D141" s="92">
        <f>(1-inter($C141,5.25,'Att-w'!$M$22:$N$30)^2*25^2/(25+$C141)^2)*(D$134-1)+1</f>
        <v>1.0559794639857663</v>
      </c>
      <c r="E141" s="88">
        <f>(1-inter($C141,5.25,'Att-w'!$M$22:$N$30)^2*25^2/(25+$C141)^2)*(E$134-1)+1</f>
        <v>1.1120150262140713</v>
      </c>
      <c r="F141" s="88">
        <f>(1-inter($C141,5.25,'Att-w'!$M$22:$N$30)^2*25^2/(25+$C141)^2)*(F$134-1)+1</f>
        <v>1.1849038504685012</v>
      </c>
      <c r="G141" s="88">
        <f>(1-inter($C141,5.25,'Att-w'!$M$22:$N$30)^2*25^2/(25+$C141)^2)*(G$134-1)+1</f>
        <v>1.2337110442190693</v>
      </c>
      <c r="H141" s="88">
        <f>(1-inter($C141,5.25,'Att-w'!$M$22:$N$30)^2*25^2/(25+$C141)^2)*(H$134-1)+1</f>
        <v>1.3036926044223827</v>
      </c>
      <c r="I141" s="93">
        <f>(1-inter($C141,5.25,'Att-w'!$M$22:$N$30)^2*25^2/(25+$C141)^2)*(I$134-1)+1</f>
        <v>1.344408430916664</v>
      </c>
    </row>
    <row r="142" spans="1:11" ht="15" x14ac:dyDescent="0.2">
      <c r="A142" s="79"/>
      <c r="B142" s="166"/>
      <c r="C142" s="167">
        <v>5</v>
      </c>
      <c r="D142" s="92">
        <f>(1-inter($C142,5.25,'Att-w'!$M$22:$N$30)^2*25^2/(25+$C142)^2)*(D$134-1)+1</f>
        <v>1.0577242632687403</v>
      </c>
      <c r="E142" s="88">
        <f>(1-inter($C142,5.25,'Att-w'!$M$22:$N$30)^2*25^2/(25+$C142)^2)*(E$134-1)+1</f>
        <v>1.115506373281459</v>
      </c>
      <c r="F142" s="88">
        <f>(1-inter($C142,5.25,'Att-w'!$M$22:$N$30)^2*25^2/(25+$C142)^2)*(F$134-1)+1</f>
        <v>1.1906670372292498</v>
      </c>
      <c r="G142" s="88">
        <f>(1-inter($C142,5.25,'Att-w'!$M$22:$N$30)^2*25^2/(25+$C142)^2)*(G$134-1)+1</f>
        <v>1.2409954809275061</v>
      </c>
      <c r="H142" s="88">
        <f>(1-inter($C142,5.25,'Att-w'!$M$22:$N$30)^2*25^2/(25+$C142)^2)*(H$134-1)+1</f>
        <v>1.3131582655901175</v>
      </c>
      <c r="I142" s="93">
        <f>(1-inter($C142,5.25,'Att-w'!$M$22:$N$30)^2*25^2/(25+$C142)^2)*(I$134-1)+1</f>
        <v>1.3551431457661378</v>
      </c>
    </row>
    <row r="143" spans="1:11" ht="15" x14ac:dyDescent="0.2">
      <c r="A143" s="79"/>
      <c r="B143" s="163"/>
      <c r="C143" s="170">
        <v>6</v>
      </c>
      <c r="D143" s="94">
        <f>(1-inter($C143,5.25,'Att-w'!$M$22:$N$30)^2*25^2/(25+$C143)^2)*(D$134-1)+1</f>
        <v>1.0589049858618613</v>
      </c>
      <c r="E143" s="95">
        <f>(1-inter($C143,5.25,'Att-w'!$M$22:$N$30)^2*25^2/(25+$C143)^2)*(E$134-1)+1</f>
        <v>1.1178690016955795</v>
      </c>
      <c r="F143" s="95">
        <f>(1-inter($C143,5.25,'Att-w'!$M$22:$N$30)^2*25^2/(25+$C143)^2)*(F$134-1)+1</f>
        <v>1.1945670415926137</v>
      </c>
      <c r="G143" s="95">
        <f>(1-inter($C143,5.25,'Att-w'!$M$22:$N$30)^2*25^2/(25+$C143)^2)*(G$134-1)+1</f>
        <v>1.2459249298811716</v>
      </c>
      <c r="H143" s="95">
        <f>(1-inter($C143,5.25,'Att-w'!$M$22:$N$30)^2*25^2/(25+$C143)^2)*(H$134-1)+1</f>
        <v>1.319563770285491</v>
      </c>
      <c r="I143" s="96">
        <f>(1-inter($C143,5.25,'Att-w'!$M$22:$N$30)^2*25^2/(25+$C143)^2)*(I$134-1)+1</f>
        <v>1.3624074313932406</v>
      </c>
      <c r="K143" s="120"/>
    </row>
    <row r="147" spans="1:5" ht="21" x14ac:dyDescent="0.35">
      <c r="A147" s="24" t="s">
        <v>34</v>
      </c>
    </row>
    <row r="148" spans="1:5" ht="15" x14ac:dyDescent="0.2">
      <c r="B148" s="181"/>
      <c r="C148" s="23"/>
    </row>
    <row r="149" spans="1:5" ht="16.5" x14ac:dyDescent="0.3">
      <c r="C149" s="180" t="s">
        <v>21</v>
      </c>
    </row>
    <row r="150" spans="1:5" ht="14.25" customHeight="1" x14ac:dyDescent="0.2">
      <c r="A150" s="201" t="s">
        <v>22</v>
      </c>
      <c r="B150" s="25">
        <v>0.19</v>
      </c>
      <c r="C150" s="26">
        <f>C151-0.09*0.11</f>
        <v>4.1901000000000002</v>
      </c>
      <c r="D150" s="27" t="s">
        <v>23</v>
      </c>
      <c r="E150" s="27"/>
    </row>
    <row r="151" spans="1:5" ht="15" x14ac:dyDescent="0.2">
      <c r="A151" s="201"/>
      <c r="B151" s="144">
        <v>0.3</v>
      </c>
      <c r="C151" s="28">
        <f>inter(B151,5,[4]Dosim_Data_TG61!$L$55:$Q$67)</f>
        <v>4.2</v>
      </c>
    </row>
    <row r="152" spans="1:5" ht="15" x14ac:dyDescent="0.2">
      <c r="A152" s="201"/>
      <c r="B152" s="144">
        <v>0.4</v>
      </c>
      <c r="C152" s="29">
        <f>inter(B152,5,[4]Dosim_Data_TG61!$L$55:$Q$67)</f>
        <v>4.2889999999999997</v>
      </c>
    </row>
    <row r="153" spans="1:5" ht="15" x14ac:dyDescent="0.2">
      <c r="A153" s="201"/>
      <c r="B153" s="144">
        <v>1</v>
      </c>
      <c r="C153" s="29">
        <f>inter(B153,5,[4]Dosim_Data_TG61!$L$55:$Q$67)</f>
        <v>4.4939999999999998</v>
      </c>
    </row>
    <row r="154" spans="1:5" ht="15" x14ac:dyDescent="0.2">
      <c r="A154" s="201"/>
      <c r="B154" s="144">
        <v>2</v>
      </c>
      <c r="C154" s="29">
        <f>inter(B154,5,[4]Dosim_Data_TG61!$L$55:$Q$67)</f>
        <v>4.3499999999999996</v>
      </c>
    </row>
    <row r="155" spans="1:5" ht="15" x14ac:dyDescent="0.2">
      <c r="A155" s="201"/>
      <c r="B155" s="144">
        <v>3</v>
      </c>
      <c r="C155" s="29">
        <f>inter(B155,5,[4]Dosim_Data_TG61!$L$55:$Q$67)</f>
        <v>4.1790000000000003</v>
      </c>
    </row>
    <row r="156" spans="1:5" ht="15" x14ac:dyDescent="0.2">
      <c r="A156" s="201"/>
      <c r="B156" s="144">
        <v>4</v>
      </c>
      <c r="C156" s="29">
        <f>inter(B156,5,[4]Dosim_Data_TG61!$L$55:$Q$67)</f>
        <v>3.9750000000000005</v>
      </c>
    </row>
    <row r="157" spans="1:5" ht="15" x14ac:dyDescent="0.2">
      <c r="A157" s="201"/>
      <c r="B157" s="145">
        <v>5</v>
      </c>
      <c r="C157" s="30">
        <f>inter(B157,5,[4]Dosim_Data_TG61!$L$55:$Q$67)</f>
        <v>3.7690000000000001</v>
      </c>
    </row>
    <row r="158" spans="1:5" x14ac:dyDescent="0.2">
      <c r="A158" s="79" t="s">
        <v>36</v>
      </c>
    </row>
  </sheetData>
  <sheetProtection sheet="1" objects="1" scenarios="1"/>
  <mergeCells count="1">
    <mergeCell ref="A150:A157"/>
  </mergeCells>
  <pageMargins left="1.299212598425197" right="0.31496062992125984" top="1.3385826771653544" bottom="0.74803149606299213" header="0.51181102362204722" footer="0.31496062992125984"/>
  <pageSetup paperSize="9" orientation="portrait" r:id="rId1"/>
  <headerFooter>
    <oddHeader xml:space="preserve">&amp;L&amp;"Arial Rounded MT Bold,Regular"&amp;K4D4D4D
&amp;14&amp;K660033Andrew Love Cancer Centre&amp;"-,Regular"&amp;11&amp;K01+000
&amp;"Arial Rounded MT Bold,Regular"&amp;12&amp;K4D4D4DSuperficial RT&amp;"-,Regular"&amp;11&amp;K01+000
</oddHeader>
    <oddFooter>&amp;LF. Nelli 12-8-2015&amp;Rpage &amp;P of &amp;N</oddFooter>
  </headerFooter>
  <rowBreaks count="3" manualBreakCount="3">
    <brk id="41" max="16383" man="1"/>
    <brk id="73" max="16383" man="1"/>
    <brk id="112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204"/>
  <sheetViews>
    <sheetView zoomScale="115" zoomScaleNormal="115" workbookViewId="0">
      <selection activeCell="L26" sqref="L26"/>
    </sheetView>
  </sheetViews>
  <sheetFormatPr defaultRowHeight="15" x14ac:dyDescent="0.25"/>
  <cols>
    <col min="1" max="1" width="10.7109375" style="31" customWidth="1"/>
    <col min="2" max="2" width="6.5703125" style="31" customWidth="1"/>
    <col min="3" max="3" width="9.5703125" style="31" bestFit="1" customWidth="1"/>
    <col min="4" max="11" width="9.42578125" style="31" bestFit="1" customWidth="1"/>
    <col min="12" max="16384" width="9.140625" style="31"/>
  </cols>
  <sheetData>
    <row r="1" spans="1:10" ht="18" x14ac:dyDescent="0.25">
      <c r="A1" s="2" t="s">
        <v>33</v>
      </c>
    </row>
    <row r="3" spans="1:10" ht="18.75" x14ac:dyDescent="0.3">
      <c r="A3" s="215" t="s">
        <v>37</v>
      </c>
      <c r="B3" s="216"/>
      <c r="C3" s="216"/>
      <c r="D3" s="216"/>
      <c r="E3" s="216"/>
      <c r="F3" s="216"/>
      <c r="G3" s="216"/>
      <c r="H3" s="216"/>
      <c r="I3" s="216"/>
      <c r="J3" s="217"/>
    </row>
    <row r="5" spans="1:10" ht="18" customHeight="1" x14ac:dyDescent="0.25">
      <c r="C5" s="1"/>
      <c r="D5" s="1"/>
      <c r="E5" s="1"/>
      <c r="F5" s="1"/>
    </row>
    <row r="6" spans="1:10" ht="18" x14ac:dyDescent="0.25">
      <c r="A6" s="213" t="s">
        <v>20</v>
      </c>
      <c r="B6" s="213"/>
      <c r="C6" s="77" t="s">
        <v>27</v>
      </c>
      <c r="D6" s="77"/>
      <c r="E6" s="77"/>
      <c r="F6" s="77"/>
      <c r="G6" s="77"/>
      <c r="H6" s="77"/>
    </row>
    <row r="7" spans="1:10" x14ac:dyDescent="0.25">
      <c r="A7" s="1"/>
      <c r="B7" s="23"/>
      <c r="C7" s="75">
        <v>0.8</v>
      </c>
      <c r="D7" s="47">
        <f>'[4]Clin-PDD'!C$5</f>
        <v>1.6</v>
      </c>
      <c r="E7" s="47">
        <f>'[4]Clin-PDD'!D$5</f>
        <v>2</v>
      </c>
      <c r="F7" s="47">
        <f>'[4]Clin-PDD'!E$5</f>
        <v>4</v>
      </c>
      <c r="G7" s="47">
        <f>'[4]Clin-PDD'!F$5</f>
        <v>6</v>
      </c>
      <c r="H7" s="48">
        <f>'[4]Clin-PDD'!G$5</f>
        <v>8</v>
      </c>
    </row>
    <row r="8" spans="1:10" x14ac:dyDescent="0.25">
      <c r="A8" s="203" t="s">
        <v>32</v>
      </c>
      <c r="B8" s="146">
        <v>0</v>
      </c>
      <c r="C8" s="49">
        <f>'[4]Clin-PDD'!B6</f>
        <v>100</v>
      </c>
      <c r="D8" s="50">
        <f>'[4]Clin-PDD'!C6</f>
        <v>100</v>
      </c>
      <c r="E8" s="50">
        <f>'[4]Clin-PDD'!D6</f>
        <v>100</v>
      </c>
      <c r="F8" s="50">
        <f>'[4]Clin-PDD'!E6</f>
        <v>100</v>
      </c>
      <c r="G8" s="50">
        <f>'[4]Clin-PDD'!F6</f>
        <v>100</v>
      </c>
      <c r="H8" s="51">
        <f>'[4]Clin-PDD'!G6</f>
        <v>100</v>
      </c>
    </row>
    <row r="9" spans="1:10" x14ac:dyDescent="0.25">
      <c r="A9" s="203"/>
      <c r="B9" s="147">
        <v>0.2</v>
      </c>
      <c r="C9" s="58">
        <f>inter($B9/10,C$7,'[4]Clin-PDD'!$A$5:$G$13)</f>
        <v>95.124484380195241</v>
      </c>
      <c r="D9" s="59">
        <f>inter($B9/10,D$7,'[4]Clin-PDD'!$A$5:$G$13)</f>
        <v>95.124440742082569</v>
      </c>
      <c r="E9" s="59">
        <f>inter($B9/10,E$7,'[4]Clin-PDD'!$A$5:$G$13)</f>
        <v>95.124418923026226</v>
      </c>
      <c r="F9" s="59">
        <f>inter($B9/10,F$7,'[4]Clin-PDD'!$A$5:$G$13)</f>
        <v>95.124440936368586</v>
      </c>
      <c r="G9" s="59">
        <f>inter($B9/10,G$7,'[4]Clin-PDD'!$A$5:$G$13)</f>
        <v>95.124536951060236</v>
      </c>
      <c r="H9" s="60">
        <f>inter($B9/10,H$7,'[4]Clin-PDD'!$A$5:$G$13)</f>
        <v>95.124575858477144</v>
      </c>
    </row>
    <row r="10" spans="1:10" x14ac:dyDescent="0.25">
      <c r="A10" s="203"/>
      <c r="B10" s="147">
        <v>0.4</v>
      </c>
      <c r="C10" s="58">
        <f>inter($B10/10,C$7,'[4]Clin-PDD'!$A$5:$G$13)</f>
        <v>90.248968760390497</v>
      </c>
      <c r="D10" s="59">
        <f>inter($B10/10,D$7,'[4]Clin-PDD'!$A$5:$G$13)</f>
        <v>90.248881484165139</v>
      </c>
      <c r="E10" s="59">
        <f>inter($B10/10,E$7,'[4]Clin-PDD'!$A$5:$G$13)</f>
        <v>90.248837846052453</v>
      </c>
      <c r="F10" s="59">
        <f>inter($B10/10,F$7,'[4]Clin-PDD'!$A$5:$G$13)</f>
        <v>90.248881872737158</v>
      </c>
      <c r="G10" s="59">
        <f>inter($B10/10,G$7,'[4]Clin-PDD'!$A$5:$G$13)</f>
        <v>90.249073902120472</v>
      </c>
      <c r="H10" s="60">
        <f>inter($B10/10,H$7,'[4]Clin-PDD'!$A$5:$G$13)</f>
        <v>90.249151716954287</v>
      </c>
    </row>
    <row r="11" spans="1:10" x14ac:dyDescent="0.25">
      <c r="A11" s="203"/>
      <c r="B11" s="147">
        <v>0.6</v>
      </c>
      <c r="C11" s="58">
        <f>inter($B11/10,C$7,'[4]Clin-PDD'!$A$5:$G$13)</f>
        <v>85.373453140585738</v>
      </c>
      <c r="D11" s="59">
        <f>inter($B11/10,D$7,'[4]Clin-PDD'!$A$5:$G$13)</f>
        <v>85.373322226247694</v>
      </c>
      <c r="E11" s="59">
        <f>inter($B11/10,E$7,'[4]Clin-PDD'!$A$5:$G$13)</f>
        <v>85.373256769078679</v>
      </c>
      <c r="F11" s="59">
        <f>inter($B11/10,F$7,'[4]Clin-PDD'!$A$5:$G$13)</f>
        <v>85.373322809105744</v>
      </c>
      <c r="G11" s="59">
        <f>inter($B11/10,G$7,'[4]Clin-PDD'!$A$5:$G$13)</f>
        <v>85.373610853180722</v>
      </c>
      <c r="H11" s="60">
        <f>inter($B11/10,H$7,'[4]Clin-PDD'!$A$5:$G$13)</f>
        <v>85.373727575431445</v>
      </c>
    </row>
    <row r="12" spans="1:10" x14ac:dyDescent="0.25">
      <c r="A12" s="203"/>
      <c r="B12" s="147">
        <v>0.8</v>
      </c>
      <c r="C12" s="58">
        <f>inter($B12/10,C$7,'[4]Clin-PDD'!$A$5:$G$13)</f>
        <v>80.497937520780994</v>
      </c>
      <c r="D12" s="59">
        <f>inter($B12/10,D$7,'[4]Clin-PDD'!$A$5:$G$13)</f>
        <v>80.497762968330264</v>
      </c>
      <c r="E12" s="59">
        <f>inter($B12/10,E$7,'[4]Clin-PDD'!$A$5:$G$13)</f>
        <v>80.497675692104906</v>
      </c>
      <c r="F12" s="59">
        <f>inter($B12/10,F$7,'[4]Clin-PDD'!$A$5:$G$13)</f>
        <v>80.497763745474316</v>
      </c>
      <c r="G12" s="59">
        <f>inter($B12/10,G$7,'[4]Clin-PDD'!$A$5:$G$13)</f>
        <v>80.498147804240958</v>
      </c>
      <c r="H12" s="60">
        <f>inter($B12/10,H$7,'[4]Clin-PDD'!$A$5:$G$13)</f>
        <v>80.498303433908589</v>
      </c>
    </row>
    <row r="13" spans="1:10" x14ac:dyDescent="0.25">
      <c r="A13" s="203"/>
      <c r="B13" s="147">
        <v>1</v>
      </c>
      <c r="C13" s="58">
        <f>inter($B13/10,C$7,'[4]Clin-PDD'!$A$5:$G$13)</f>
        <v>75.622421900976235</v>
      </c>
      <c r="D13" s="59">
        <f>inter($B13/10,D$7,'[4]Clin-PDD'!$A$5:$G$13)</f>
        <v>75.622203710412833</v>
      </c>
      <c r="E13" s="59">
        <f>inter($B13/10,E$7,'[4]Clin-PDD'!$A$5:$G$13)</f>
        <v>75.622094615131132</v>
      </c>
      <c r="F13" s="59">
        <f>inter($B13/10,F$7,'[4]Clin-PDD'!$A$5:$G$13)</f>
        <v>75.622204681842902</v>
      </c>
      <c r="G13" s="59">
        <f>inter($B13/10,G$7,'[4]Clin-PDD'!$A$5:$G$13)</f>
        <v>75.622684755301194</v>
      </c>
      <c r="H13" s="60">
        <f>inter($B13/10,H$7,'[4]Clin-PDD'!$A$5:$G$13)</f>
        <v>75.622879292385733</v>
      </c>
    </row>
    <row r="14" spans="1:10" x14ac:dyDescent="0.25">
      <c r="A14" s="203"/>
      <c r="B14" s="148">
        <v>1.5</v>
      </c>
      <c r="C14" s="58">
        <f>inter($B14/10,C$7,'[4]Clin-PDD'!$A$5:$G$13)</f>
        <v>68.406950762340017</v>
      </c>
      <c r="D14" s="59">
        <f>inter($B14/10,D$7,'[4]Clin-PDD'!$A$5:$G$13)</f>
        <v>68.406663137885374</v>
      </c>
      <c r="E14" s="59">
        <f>inter($B14/10,E$7,'[4]Clin-PDD'!$A$5:$G$13)</f>
        <v>68.406519325658067</v>
      </c>
      <c r="F14" s="59">
        <f>inter($B14/10,F$7,'[4]Clin-PDD'!$A$5:$G$13)</f>
        <v>68.406656023156685</v>
      </c>
      <c r="G14" s="59">
        <f>inter($B14/10,G$7,'[4]Clin-PDD'!$A$5:$G$13)</f>
        <v>68.407278668088793</v>
      </c>
      <c r="H14" s="60">
        <f>inter($B14/10,H$7,'[4]Clin-PDD'!$A$5:$G$13)</f>
        <v>68.407531501819179</v>
      </c>
    </row>
    <row r="15" spans="1:10" x14ac:dyDescent="0.25">
      <c r="A15" s="203"/>
      <c r="B15" s="149">
        <v>2</v>
      </c>
      <c r="C15" s="58">
        <f>inter($B15/10,C$7,'[4]Clin-PDD'!$A$5:$G$13)</f>
        <v>61.191479623703785</v>
      </c>
      <c r="D15" s="59">
        <f>inter($B15/10,D$7,'[4]Clin-PDD'!$A$5:$G$13)</f>
        <v>61.191122565357922</v>
      </c>
      <c r="E15" s="59">
        <f>inter($B15/10,E$7,'[4]Clin-PDD'!$A$5:$G$13)</f>
        <v>61.190944036184987</v>
      </c>
      <c r="F15" s="59">
        <f>inter($B15/10,F$7,'[4]Clin-PDD'!$A$5:$G$13)</f>
        <v>61.191107364470462</v>
      </c>
      <c r="G15" s="59">
        <f>inter($B15/10,G$7,'[4]Clin-PDD'!$A$5:$G$13)</f>
        <v>61.191872580876392</v>
      </c>
      <c r="H15" s="60">
        <f>inter($B15/10,H$7,'[4]Clin-PDD'!$A$5:$G$13)</f>
        <v>61.192183711252632</v>
      </c>
    </row>
    <row r="16" spans="1:10" x14ac:dyDescent="0.25">
      <c r="A16" s="203"/>
      <c r="B16" s="149">
        <v>3</v>
      </c>
      <c r="C16" s="58">
        <f>inter($B16/10,C$7,'[4]Clin-PDD'!$A$5:$G$13)</f>
        <v>51.723553165458966</v>
      </c>
      <c r="D16" s="59">
        <f>inter($B16/10,D$7,'[4]Clin-PDD'!$A$5:$G$13)</f>
        <v>51.723488681712823</v>
      </c>
      <c r="E16" s="59">
        <f>inter($B16/10,E$7,'[4]Clin-PDD'!$A$5:$G$13)</f>
        <v>51.723456439839751</v>
      </c>
      <c r="F16" s="59">
        <f>inter($B16/10,F$7,'[4]Clin-PDD'!$A$5:$G$13)</f>
        <v>51.723780450514433</v>
      </c>
      <c r="G16" s="59">
        <f>inter($B16/10,G$7,'[4]Clin-PDD'!$A$5:$G$13)</f>
        <v>51.72436855117504</v>
      </c>
      <c r="H16" s="60">
        <f>inter($B16/10,H$7,'[4]Clin-PDD'!$A$5:$G$13)</f>
        <v>51.724735521781554</v>
      </c>
    </row>
    <row r="17" spans="1:10" x14ac:dyDescent="0.25">
      <c r="A17" s="203"/>
      <c r="B17" s="149">
        <v>5</v>
      </c>
      <c r="C17" s="58">
        <f>inter($B17/10,C$7,'[4]Clin-PDD'!$A$5:$G$13)</f>
        <v>37.760181745537025</v>
      </c>
      <c r="D17" s="59">
        <f>inter($B17/10,D$7,'[4]Clin-PDD'!$A$5:$G$13)</f>
        <v>37.760213279990019</v>
      </c>
      <c r="E17" s="59">
        <f>inter($B17/10,E$7,'[4]Clin-PDD'!$A$5:$G$13)</f>
        <v>37.760229047216527</v>
      </c>
      <c r="F17" s="59">
        <f>inter($B17/10,F$7,'[4]Clin-PDD'!$A$5:$G$13)</f>
        <v>37.760646692287679</v>
      </c>
      <c r="G17" s="59">
        <f>inter($B17/10,G$7,'[4]Clin-PDD'!$A$5:$G$13)</f>
        <v>37.761242180337049</v>
      </c>
      <c r="H17" s="60">
        <f>inter($B17/10,H$7,'[4]Clin-PDD'!$A$5:$G$13)</f>
        <v>37.761676702426008</v>
      </c>
    </row>
    <row r="18" spans="1:10" x14ac:dyDescent="0.25">
      <c r="A18" s="203"/>
      <c r="B18" s="150">
        <v>10</v>
      </c>
      <c r="C18" s="61">
        <f>inter($B18/10,C$7,'[4]Clin-PDD'!$A$5:$G$13)</f>
        <v>19.881775498474902</v>
      </c>
      <c r="D18" s="62">
        <f>inter($B18/10,D$7,'[4]Clin-PDD'!$A$5:$G$13)</f>
        <v>19.881243383951542</v>
      </c>
      <c r="E18" s="62">
        <f>inter($B18/10,E$7,'[4]Clin-PDD'!$A$5:$G$13)</f>
        <v>19.880977326689862</v>
      </c>
      <c r="F18" s="62">
        <f>inter($B18/10,F$7,'[4]Clin-PDD'!$A$5:$G$13)</f>
        <v>19.881178464321533</v>
      </c>
      <c r="G18" s="62">
        <f>inter($B18/10,G$7,'[4]Clin-PDD'!$A$5:$G$13)</f>
        <v>19.882267492231705</v>
      </c>
      <c r="H18" s="63">
        <f>inter($B18/10,H$7,'[4]Clin-PDD'!$A$5:$G$13)</f>
        <v>19.882712986480307</v>
      </c>
    </row>
    <row r="19" spans="1:10" x14ac:dyDescent="0.25">
      <c r="A19" s="1"/>
      <c r="B19" s="23"/>
      <c r="C19" s="23"/>
      <c r="D19" s="23"/>
      <c r="E19" s="23"/>
      <c r="F19" s="23"/>
      <c r="G19" s="23"/>
      <c r="H19" s="23"/>
      <c r="I19" s="23"/>
      <c r="J19" s="23"/>
    </row>
    <row r="20" spans="1:10" ht="18" customHeight="1" x14ac:dyDescent="0.25">
      <c r="C20" s="1"/>
      <c r="D20" s="1"/>
      <c r="E20" s="1"/>
      <c r="F20" s="1"/>
    </row>
    <row r="21" spans="1:10" ht="18" x14ac:dyDescent="0.25">
      <c r="A21" s="202" t="s">
        <v>39</v>
      </c>
      <c r="B21" s="202"/>
      <c r="C21" s="77" t="s">
        <v>27</v>
      </c>
      <c r="D21" s="77"/>
      <c r="E21" s="77"/>
      <c r="F21" s="77"/>
      <c r="G21" s="77"/>
      <c r="H21" s="77"/>
      <c r="I21" s="77"/>
    </row>
    <row r="22" spans="1:10" x14ac:dyDescent="0.25">
      <c r="A22" s="1"/>
      <c r="B22" s="23"/>
      <c r="C22" s="76">
        <v>0.8</v>
      </c>
      <c r="D22" s="35">
        <f>'[4]Clin-PDD'!C$18</f>
        <v>1.6</v>
      </c>
      <c r="E22" s="35">
        <f>'[4]Clin-PDD'!D$18</f>
        <v>2</v>
      </c>
      <c r="F22" s="35">
        <f>'[4]Clin-PDD'!E$18</f>
        <v>4</v>
      </c>
      <c r="G22" s="35">
        <f>'[4]Clin-PDD'!F$18</f>
        <v>8</v>
      </c>
      <c r="H22" s="35">
        <f>'[4]Clin-PDD'!G$18</f>
        <v>10</v>
      </c>
      <c r="I22" s="36">
        <f>'[4]Clin-PDD'!H$18</f>
        <v>15</v>
      </c>
    </row>
    <row r="23" spans="1:10" x14ac:dyDescent="0.25">
      <c r="A23" s="203" t="s">
        <v>32</v>
      </c>
      <c r="B23" s="146">
        <v>0</v>
      </c>
      <c r="C23" s="49">
        <f>'[4]Clin-PDD'!B19</f>
        <v>100</v>
      </c>
      <c r="D23" s="50">
        <f>'[4]Clin-PDD'!C19</f>
        <v>100</v>
      </c>
      <c r="E23" s="50">
        <f>'[4]Clin-PDD'!D19</f>
        <v>100</v>
      </c>
      <c r="F23" s="50">
        <f>'[4]Clin-PDD'!E19</f>
        <v>100</v>
      </c>
      <c r="G23" s="50">
        <f>'[4]Clin-PDD'!F19</f>
        <v>100</v>
      </c>
      <c r="H23" s="50">
        <f>'[4]Clin-PDD'!G19</f>
        <v>100</v>
      </c>
      <c r="I23" s="51">
        <f>'[4]Clin-PDD'!H19</f>
        <v>100</v>
      </c>
    </row>
    <row r="24" spans="1:10" x14ac:dyDescent="0.25">
      <c r="A24" s="203"/>
      <c r="B24" s="147">
        <v>0.2</v>
      </c>
      <c r="C24" s="58">
        <f>inter($B24/10,C$22,'[4]Clin-PDD'!$A$18:$H$26)</f>
        <v>95.504649834005363</v>
      </c>
      <c r="D24" s="59">
        <f>inter($B24/10,D$22,'[4]Clin-PDD'!$A$18:$H$26)</f>
        <v>95.504627791902749</v>
      </c>
      <c r="E24" s="59">
        <f>inter($B24/10,E$22,'[4]Clin-PDD'!$A$18:$H$26)</f>
        <v>95.504616770851442</v>
      </c>
      <c r="F24" s="59">
        <f>inter($B24/10,F$22,'[4]Clin-PDD'!$A$18:$H$26)</f>
        <v>95.504611742107613</v>
      </c>
      <c r="G24" s="59">
        <f>inter($B24/10,G$22,'[4]Clin-PDD'!$A$18:$H$26)</f>
        <v>95.504636348650365</v>
      </c>
      <c r="H24" s="59">
        <f>inter($B24/10,H$22,'[4]Clin-PDD'!$A$18:$H$26)</f>
        <v>95.504637737089254</v>
      </c>
      <c r="I24" s="60">
        <f>inter($B24/10,I$22,'[4]Clin-PDD'!$A$18:$H$26)</f>
        <v>95.504654713824181</v>
      </c>
    </row>
    <row r="25" spans="1:10" x14ac:dyDescent="0.25">
      <c r="A25" s="203"/>
      <c r="B25" s="147">
        <v>0.4</v>
      </c>
      <c r="C25" s="58">
        <f>inter($B25/10,C$22,'[4]Clin-PDD'!$A$18:$H$26)</f>
        <v>91.00929966801074</v>
      </c>
      <c r="D25" s="59">
        <f>inter($B25/10,D$22,'[4]Clin-PDD'!$A$18:$H$26)</f>
        <v>91.009255583805512</v>
      </c>
      <c r="E25" s="59">
        <f>inter($B25/10,E$22,'[4]Clin-PDD'!$A$18:$H$26)</f>
        <v>91.009233541702898</v>
      </c>
      <c r="F25" s="59">
        <f>inter($B25/10,F$22,'[4]Clin-PDD'!$A$18:$H$26)</f>
        <v>91.009223484215227</v>
      </c>
      <c r="G25" s="59">
        <f>inter($B25/10,G$22,'[4]Clin-PDD'!$A$18:$H$26)</f>
        <v>91.009272697300744</v>
      </c>
      <c r="H25" s="59">
        <f>inter($B25/10,H$22,'[4]Clin-PDD'!$A$18:$H$26)</f>
        <v>91.009275474178509</v>
      </c>
      <c r="I25" s="60">
        <f>inter($B25/10,I$22,'[4]Clin-PDD'!$A$18:$H$26)</f>
        <v>91.009309427648361</v>
      </c>
    </row>
    <row r="26" spans="1:10" x14ac:dyDescent="0.25">
      <c r="A26" s="203"/>
      <c r="B26" s="147">
        <v>0.6</v>
      </c>
      <c r="C26" s="58">
        <f>inter($B26/10,C$22,'[4]Clin-PDD'!$A$18:$H$26)</f>
        <v>86.513949502016104</v>
      </c>
      <c r="D26" s="59">
        <f>inter($B26/10,D$22,'[4]Clin-PDD'!$A$18:$H$26)</f>
        <v>86.513883375708261</v>
      </c>
      <c r="E26" s="59">
        <f>inter($B26/10,E$22,'[4]Clin-PDD'!$A$18:$H$26)</f>
        <v>86.513850312554339</v>
      </c>
      <c r="F26" s="59">
        <f>inter($B26/10,F$22,'[4]Clin-PDD'!$A$18:$H$26)</f>
        <v>86.51383522632284</v>
      </c>
      <c r="G26" s="59">
        <f>inter($B26/10,G$22,'[4]Clin-PDD'!$A$18:$H$26)</f>
        <v>86.51390904595111</v>
      </c>
      <c r="H26" s="59">
        <f>inter($B26/10,H$22,'[4]Clin-PDD'!$A$18:$H$26)</f>
        <v>86.513913211267749</v>
      </c>
      <c r="I26" s="60">
        <f>inter($B26/10,I$22,'[4]Clin-PDD'!$A$18:$H$26)</f>
        <v>86.513964141472556</v>
      </c>
    </row>
    <row r="27" spans="1:10" x14ac:dyDescent="0.25">
      <c r="A27" s="203"/>
      <c r="B27" s="147">
        <v>0.8</v>
      </c>
      <c r="C27" s="58">
        <f>inter($B27/10,C$22,'[4]Clin-PDD'!$A$18:$H$26)</f>
        <v>82.018599336021481</v>
      </c>
      <c r="D27" s="59">
        <f>inter($B27/10,D$22,'[4]Clin-PDD'!$A$18:$H$26)</f>
        <v>82.018511167611024</v>
      </c>
      <c r="E27" s="59">
        <f>inter($B27/10,E$22,'[4]Clin-PDD'!$A$18:$H$26)</f>
        <v>82.018467083405795</v>
      </c>
      <c r="F27" s="59">
        <f>inter($B27/10,F$22,'[4]Clin-PDD'!$A$18:$H$26)</f>
        <v>82.018446968430453</v>
      </c>
      <c r="G27" s="59">
        <f>inter($B27/10,G$22,'[4]Clin-PDD'!$A$18:$H$26)</f>
        <v>82.018545394601489</v>
      </c>
      <c r="H27" s="59">
        <f>inter($B27/10,H$22,'[4]Clin-PDD'!$A$18:$H$26)</f>
        <v>82.018550948357003</v>
      </c>
      <c r="I27" s="60">
        <f>inter($B27/10,I$22,'[4]Clin-PDD'!$A$18:$H$26)</f>
        <v>82.018618855296737</v>
      </c>
    </row>
    <row r="28" spans="1:10" x14ac:dyDescent="0.25">
      <c r="A28" s="203"/>
      <c r="B28" s="147">
        <v>1</v>
      </c>
      <c r="C28" s="58">
        <f>inter($B28/10,C$22,'[4]Clin-PDD'!$A$18:$H$26)</f>
        <v>77.523249170026844</v>
      </c>
      <c r="D28" s="59">
        <f>inter($B28/10,D$22,'[4]Clin-PDD'!$A$18:$H$26)</f>
        <v>77.523138959513773</v>
      </c>
      <c r="E28" s="59">
        <f>inter($B28/10,E$22,'[4]Clin-PDD'!$A$18:$H$26)</f>
        <v>77.523083854257237</v>
      </c>
      <c r="F28" s="59">
        <f>inter($B28/10,F$22,'[4]Clin-PDD'!$A$18:$H$26)</f>
        <v>77.523058710538066</v>
      </c>
      <c r="G28" s="59">
        <f>inter($B28/10,G$22,'[4]Clin-PDD'!$A$18:$H$26)</f>
        <v>77.523181743251854</v>
      </c>
      <c r="H28" s="59">
        <f>inter($B28/10,H$22,'[4]Clin-PDD'!$A$18:$H$26)</f>
        <v>77.523188685446257</v>
      </c>
      <c r="I28" s="60">
        <f>inter($B28/10,I$22,'[4]Clin-PDD'!$A$18:$H$26)</f>
        <v>77.523273569120917</v>
      </c>
    </row>
    <row r="29" spans="1:10" x14ac:dyDescent="0.25">
      <c r="A29" s="203"/>
      <c r="B29" s="148">
        <v>1.5</v>
      </c>
      <c r="C29" s="58">
        <f>inter($B29/10,C$22,'[4]Clin-PDD'!$A$18:$H$26)</f>
        <v>70.530197770677091</v>
      </c>
      <c r="D29" s="59">
        <f>inter($B29/10,D$22,'[4]Clin-PDD'!$A$18:$H$26)</f>
        <v>70.530052115758537</v>
      </c>
      <c r="E29" s="59">
        <f>inter($B29/10,E$22,'[4]Clin-PDD'!$A$18:$H$26)</f>
        <v>70.529979288299259</v>
      </c>
      <c r="F29" s="59">
        <f>inter($B29/10,F$22,'[4]Clin-PDD'!$A$18:$H$26)</f>
        <v>70.529945050197725</v>
      </c>
      <c r="G29" s="59">
        <f>inter($B29/10,G$22,'[4]Clin-PDD'!$A$18:$H$26)</f>
        <v>70.530106454502885</v>
      </c>
      <c r="H29" s="59">
        <f>inter($B29/10,H$22,'[4]Clin-PDD'!$A$18:$H$26)</f>
        <v>70.530115503675205</v>
      </c>
      <c r="I29" s="60">
        <f>inter($B29/10,I$22,'[4]Clin-PDD'!$A$18:$H$26)</f>
        <v>70.530226929141577</v>
      </c>
    </row>
    <row r="30" spans="1:10" x14ac:dyDescent="0.25">
      <c r="A30" s="203"/>
      <c r="B30" s="149">
        <v>2</v>
      </c>
      <c r="C30" s="58">
        <f>inter($B30/10,C$22,'[4]Clin-PDD'!$A$18:$H$26)</f>
        <v>63.537146371327339</v>
      </c>
      <c r="D30" s="59">
        <f>inter($B30/10,D$22,'[4]Clin-PDD'!$A$18:$H$26)</f>
        <v>63.536965272003293</v>
      </c>
      <c r="E30" s="59">
        <f>inter($B30/10,E$22,'[4]Clin-PDD'!$A$18:$H$26)</f>
        <v>63.536874722341267</v>
      </c>
      <c r="F30" s="59">
        <f>inter($B30/10,F$22,'[4]Clin-PDD'!$A$18:$H$26)</f>
        <v>63.536831389857376</v>
      </c>
      <c r="G30" s="59">
        <f>inter($B30/10,G$22,'[4]Clin-PDD'!$A$18:$H$26)</f>
        <v>63.537031165753909</v>
      </c>
      <c r="H30" s="59">
        <f>inter($B30/10,H$22,'[4]Clin-PDD'!$A$18:$H$26)</f>
        <v>63.537042321904138</v>
      </c>
      <c r="I30" s="60">
        <f>inter($B30/10,I$22,'[4]Clin-PDD'!$A$18:$H$26)</f>
        <v>63.537180289162237</v>
      </c>
    </row>
    <row r="31" spans="1:10" x14ac:dyDescent="0.25">
      <c r="A31" s="203"/>
      <c r="B31" s="149">
        <v>3</v>
      </c>
      <c r="C31" s="58">
        <f>inter($B31/10,C$22,'[4]Clin-PDD'!$A$18:$H$26)</f>
        <v>54.291761378910778</v>
      </c>
      <c r="D31" s="59">
        <f>inter($B31/10,D$22,'[4]Clin-PDD'!$A$18:$H$26)</f>
        <v>54.29153881893356</v>
      </c>
      <c r="E31" s="59">
        <f>inter($B31/10,E$22,'[4]Clin-PDD'!$A$18:$H$26)</f>
        <v>54.291427538944944</v>
      </c>
      <c r="F31" s="59">
        <f>inter($B31/10,F$22,'[4]Clin-PDD'!$A$18:$H$26)</f>
        <v>54.291366435113325</v>
      </c>
      <c r="G31" s="59">
        <f>inter($B31/10,G$22,'[4]Clin-PDD'!$A$18:$H$26)</f>
        <v>54.291602628339739</v>
      </c>
      <c r="H31" s="59">
        <f>inter($B31/10,H$22,'[4]Clin-PDD'!$A$18:$H$26)</f>
        <v>54.291615359730741</v>
      </c>
      <c r="I31" s="60">
        <f>inter($B31/10,I$22,'[4]Clin-PDD'!$A$18:$H$26)</f>
        <v>54.291779014460701</v>
      </c>
    </row>
    <row r="32" spans="1:10" x14ac:dyDescent="0.25">
      <c r="A32" s="203"/>
      <c r="B32" s="149">
        <v>5</v>
      </c>
      <c r="C32" s="58">
        <f>inter($B32/10,C$22,'[4]Clin-PDD'!$A$18:$H$26)</f>
        <v>40.422329242901888</v>
      </c>
      <c r="D32" s="59">
        <f>inter($B32/10,D$22,'[4]Clin-PDD'!$A$18:$H$26)</f>
        <v>40.422053396204475</v>
      </c>
      <c r="E32" s="59">
        <f>inter($B32/10,E$22,'[4]Clin-PDD'!$A$18:$H$26)</f>
        <v>40.421915472855773</v>
      </c>
      <c r="F32" s="59">
        <f>inter($B32/10,F$22,'[4]Clin-PDD'!$A$18:$H$26)</f>
        <v>40.421831005972678</v>
      </c>
      <c r="G32" s="59">
        <f>inter($B32/10,G$22,'[4]Clin-PDD'!$A$18:$H$26)</f>
        <v>40.422113383631874</v>
      </c>
      <c r="H32" s="59">
        <f>inter($B32/10,H$22,'[4]Clin-PDD'!$A$18:$H$26)</f>
        <v>40.422128074412221</v>
      </c>
      <c r="I32" s="60">
        <f>inter($B32/10,I$22,'[4]Clin-PDD'!$A$18:$H$26)</f>
        <v>40.42232435090088</v>
      </c>
    </row>
    <row r="33" spans="1:10" x14ac:dyDescent="0.25">
      <c r="A33" s="203"/>
      <c r="B33" s="150">
        <v>10</v>
      </c>
      <c r="C33" s="61">
        <f>inter($B33/10,C$22,'[4]Clin-PDD'!$A$18:$H$26)</f>
        <v>22.044638231266784</v>
      </c>
      <c r="D33" s="62">
        <f>inter($B33/10,D$22,'[4]Clin-PDD'!$A$18:$H$26)</f>
        <v>22.044329276462889</v>
      </c>
      <c r="E33" s="62">
        <f>inter($B33/10,E$22,'[4]Clin-PDD'!$A$18:$H$26)</f>
        <v>22.044174799060947</v>
      </c>
      <c r="F33" s="62">
        <f>inter($B33/10,F$22,'[4]Clin-PDD'!$A$18:$H$26)</f>
        <v>22.044064021855348</v>
      </c>
      <c r="G33" s="62">
        <f>inter($B33/10,G$22,'[4]Clin-PDD'!$A$18:$H$26)</f>
        <v>22.044361094675331</v>
      </c>
      <c r="H33" s="62">
        <f>inter($B33/10,H$22,'[4]Clin-PDD'!$A$18:$H$26)</f>
        <v>22.044375532355808</v>
      </c>
      <c r="I33" s="63">
        <f>inter($B33/10,I$22,'[4]Clin-PDD'!$A$18:$H$26)</f>
        <v>22.044583215930302</v>
      </c>
    </row>
    <row r="35" spans="1:10" x14ac:dyDescent="0.25">
      <c r="A35" s="82" t="s">
        <v>40</v>
      </c>
    </row>
    <row r="36" spans="1:10" ht="18" x14ac:dyDescent="0.25">
      <c r="A36" s="2" t="s">
        <v>33</v>
      </c>
    </row>
    <row r="38" spans="1:10" ht="18.75" x14ac:dyDescent="0.3">
      <c r="A38" s="218" t="s">
        <v>38</v>
      </c>
      <c r="B38" s="219"/>
      <c r="C38" s="219"/>
      <c r="D38" s="219"/>
      <c r="E38" s="219"/>
      <c r="F38" s="219"/>
      <c r="G38" s="219"/>
      <c r="H38" s="219"/>
      <c r="I38" s="219"/>
      <c r="J38" s="220"/>
    </row>
    <row r="40" spans="1:10" ht="18" customHeight="1" x14ac:dyDescent="0.25">
      <c r="C40" s="1"/>
      <c r="D40" s="1"/>
      <c r="E40" s="1"/>
      <c r="F40" s="1"/>
    </row>
    <row r="41" spans="1:10" ht="18" x14ac:dyDescent="0.25">
      <c r="A41" s="213" t="s">
        <v>20</v>
      </c>
      <c r="B41" s="213"/>
      <c r="C41" s="77" t="s">
        <v>27</v>
      </c>
      <c r="D41" s="77"/>
      <c r="E41" s="77"/>
      <c r="F41" s="77"/>
      <c r="G41" s="77"/>
      <c r="H41" s="77"/>
      <c r="I41" s="77"/>
    </row>
    <row r="42" spans="1:10" x14ac:dyDescent="0.25">
      <c r="A42" s="1"/>
      <c r="B42" s="23"/>
      <c r="C42" s="78">
        <f>'[4]Clin-PDD'!C$34</f>
        <v>1</v>
      </c>
      <c r="D42" s="35">
        <f>'[4]Clin-PDD'!D$34</f>
        <v>2</v>
      </c>
      <c r="E42" s="35">
        <f>'[4]Clin-PDD'!E$34</f>
        <v>3</v>
      </c>
      <c r="F42" s="35">
        <f>'[4]Clin-PDD'!F$34</f>
        <v>4</v>
      </c>
      <c r="G42" s="35">
        <f>'[4]Clin-PDD'!G$34</f>
        <v>5</v>
      </c>
      <c r="H42" s="35">
        <f>'[4]Clin-PDD'!H$34</f>
        <v>6</v>
      </c>
      <c r="I42" s="36">
        <f>'[4]Clin-PDD'!I$34</f>
        <v>8</v>
      </c>
      <c r="J42" s="23"/>
    </row>
    <row r="43" spans="1:10" x14ac:dyDescent="0.25">
      <c r="A43" s="203" t="s">
        <v>32</v>
      </c>
      <c r="B43" s="151">
        <v>0</v>
      </c>
      <c r="C43" s="49">
        <f>'[4]Clin-PDD'!C35</f>
        <v>100</v>
      </c>
      <c r="D43" s="50">
        <f>'[4]Clin-PDD'!D35</f>
        <v>100</v>
      </c>
      <c r="E43" s="50">
        <f>'[4]Clin-PDD'!E35</f>
        <v>100</v>
      </c>
      <c r="F43" s="50">
        <f>'[4]Clin-PDD'!F35</f>
        <v>100</v>
      </c>
      <c r="G43" s="50">
        <f>'[4]Clin-PDD'!G35</f>
        <v>100</v>
      </c>
      <c r="H43" s="50">
        <f>'[4]Clin-PDD'!H35</f>
        <v>100</v>
      </c>
      <c r="I43" s="51">
        <f>'[4]Clin-PDD'!I35</f>
        <v>100</v>
      </c>
    </row>
    <row r="44" spans="1:10" x14ac:dyDescent="0.25">
      <c r="A44" s="203"/>
      <c r="B44" s="152">
        <v>1</v>
      </c>
      <c r="C44" s="58">
        <f>inter($B44/10,C$42,'[4]Clin-PDD'!$A$34:$I$41)</f>
        <v>92.960142857142856</v>
      </c>
      <c r="D44" s="59">
        <f>inter($B44/10,D$42,'[4]Clin-PDD'!$A$34:$I$41)</f>
        <v>93.388571428571424</v>
      </c>
      <c r="E44" s="59">
        <f>inter($B44/10,E$42,'[4]Clin-PDD'!$A$34:$I$41)</f>
        <v>93.692333333333337</v>
      </c>
      <c r="F44" s="59">
        <f>inter($B44/10,F$42,'[4]Clin-PDD'!$A$34:$I$41)</f>
        <v>93.888833333333338</v>
      </c>
      <c r="G44" s="59">
        <f>inter($B44/10,G$42,'[4]Clin-PDD'!$A$34:$I$41)</f>
        <v>94.063333333333333</v>
      </c>
      <c r="H44" s="59">
        <f>inter($B44/10,H$42,'[4]Clin-PDD'!$A$34:$I$41)</f>
        <v>94.196255942509964</v>
      </c>
      <c r="I44" s="60">
        <f>inter($B44/10,I$42,'[4]Clin-PDD'!$A$34:$I$41)</f>
        <v>94.425434494196566</v>
      </c>
    </row>
    <row r="45" spans="1:10" x14ac:dyDescent="0.25">
      <c r="A45" s="203"/>
      <c r="B45" s="152">
        <v>2</v>
      </c>
      <c r="C45" s="58">
        <f>inter($B45/10,C$42,'[4]Clin-PDD'!$A$34:$I$41)</f>
        <v>85.920285714285711</v>
      </c>
      <c r="D45" s="59">
        <f>inter($B45/10,D$42,'[4]Clin-PDD'!$A$34:$I$41)</f>
        <v>86.777142857142863</v>
      </c>
      <c r="E45" s="59">
        <f>inter($B45/10,E$42,'[4]Clin-PDD'!$A$34:$I$41)</f>
        <v>87.384666666666661</v>
      </c>
      <c r="F45" s="59">
        <f>inter($B45/10,F$42,'[4]Clin-PDD'!$A$34:$I$41)</f>
        <v>87.777666666666676</v>
      </c>
      <c r="G45" s="59">
        <f>inter($B45/10,G$42,'[4]Clin-PDD'!$A$34:$I$41)</f>
        <v>88.126666666666665</v>
      </c>
      <c r="H45" s="59">
        <f>inter($B45/10,H$42,'[4]Clin-PDD'!$A$34:$I$41)</f>
        <v>88.392511885019928</v>
      </c>
      <c r="I45" s="60">
        <f>inter($B45/10,I$42,'[4]Clin-PDD'!$A$34:$I$41)</f>
        <v>88.850868988393131</v>
      </c>
    </row>
    <row r="46" spans="1:10" x14ac:dyDescent="0.25">
      <c r="A46" s="203"/>
      <c r="B46" s="152">
        <v>3</v>
      </c>
      <c r="C46" s="58">
        <f>inter($B46/10,C$42,'[4]Clin-PDD'!$A$34:$I$41)</f>
        <v>78.880428571428581</v>
      </c>
      <c r="D46" s="59">
        <f>inter($B46/10,D$42,'[4]Clin-PDD'!$A$34:$I$41)</f>
        <v>80.165714285714301</v>
      </c>
      <c r="E46" s="59">
        <f>inter($B46/10,E$42,'[4]Clin-PDD'!$A$34:$I$41)</f>
        <v>81.076999999999998</v>
      </c>
      <c r="F46" s="59">
        <f>inter($B46/10,F$42,'[4]Clin-PDD'!$A$34:$I$41)</f>
        <v>81.666500000000013</v>
      </c>
      <c r="G46" s="59">
        <f>inter($B46/10,G$42,'[4]Clin-PDD'!$A$34:$I$41)</f>
        <v>82.19</v>
      </c>
      <c r="H46" s="59">
        <f>inter($B46/10,H$42,'[4]Clin-PDD'!$A$34:$I$41)</f>
        <v>82.588767827529892</v>
      </c>
      <c r="I46" s="60">
        <f>inter($B46/10,I$42,'[4]Clin-PDD'!$A$34:$I$41)</f>
        <v>83.276303482589682</v>
      </c>
    </row>
    <row r="47" spans="1:10" x14ac:dyDescent="0.25">
      <c r="A47" s="203"/>
      <c r="B47" s="152">
        <v>4</v>
      </c>
      <c r="C47" s="58">
        <f>inter($B47/10,C$42,'[4]Clin-PDD'!$A$34:$I$41)</f>
        <v>71.840571428571437</v>
      </c>
      <c r="D47" s="59">
        <f>inter($B47/10,D$42,'[4]Clin-PDD'!$A$34:$I$41)</f>
        <v>73.554285714285726</v>
      </c>
      <c r="E47" s="59">
        <f>inter($B47/10,E$42,'[4]Clin-PDD'!$A$34:$I$41)</f>
        <v>74.769333333333336</v>
      </c>
      <c r="F47" s="59">
        <f>inter($B47/10,F$42,'[4]Clin-PDD'!$A$34:$I$41)</f>
        <v>75.555333333333337</v>
      </c>
      <c r="G47" s="59">
        <f>inter($B47/10,G$42,'[4]Clin-PDD'!$A$34:$I$41)</f>
        <v>76.25333333333333</v>
      </c>
      <c r="H47" s="59">
        <f>inter($B47/10,H$42,'[4]Clin-PDD'!$A$34:$I$41)</f>
        <v>76.785023770039857</v>
      </c>
      <c r="I47" s="60">
        <f>inter($B47/10,I$42,'[4]Clin-PDD'!$A$34:$I$41)</f>
        <v>77.701737976786248</v>
      </c>
    </row>
    <row r="48" spans="1:10" x14ac:dyDescent="0.25">
      <c r="A48" s="203"/>
      <c r="B48" s="152">
        <v>5</v>
      </c>
      <c r="C48" s="58">
        <f>inter($B48/10,C$42,'[4]Clin-PDD'!$A$34:$I$41)</f>
        <v>67.351571428571432</v>
      </c>
      <c r="D48" s="59">
        <f>inter($B48/10,D$42,'[4]Clin-PDD'!$A$34:$I$41)</f>
        <v>69.232119047619051</v>
      </c>
      <c r="E48" s="59">
        <f>inter($B48/10,E$42,'[4]Clin-PDD'!$A$34:$I$41)</f>
        <v>70.533333333333331</v>
      </c>
      <c r="F48" s="59">
        <f>inter($B48/10,F$42,'[4]Clin-PDD'!$A$34:$I$41)</f>
        <v>71.365166666666667</v>
      </c>
      <c r="G48" s="59">
        <f>inter($B48/10,G$42,'[4]Clin-PDD'!$A$34:$I$41)</f>
        <v>72.081499999999991</v>
      </c>
      <c r="H48" s="59">
        <f>inter($B48/10,H$42,'[4]Clin-PDD'!$A$34:$I$41)</f>
        <v>72.669258849334099</v>
      </c>
      <c r="I48" s="60">
        <f>inter($B48/10,I$42,'[4]Clin-PDD'!$A$34:$I$41)</f>
        <v>73.677943214668971</v>
      </c>
    </row>
    <row r="49" spans="1:10" x14ac:dyDescent="0.25">
      <c r="A49" s="203"/>
      <c r="B49" s="152">
        <v>6</v>
      </c>
      <c r="C49" s="58">
        <f>inter($B49/10,C$42,'[4]Clin-PDD'!$A$34:$I$41)</f>
        <v>62.862571428571435</v>
      </c>
      <c r="D49" s="59">
        <f>inter($B49/10,D$42,'[4]Clin-PDD'!$A$34:$I$41)</f>
        <v>64.90995238095239</v>
      </c>
      <c r="E49" s="59">
        <f>inter($B49/10,E$42,'[4]Clin-PDD'!$A$34:$I$41)</f>
        <v>66.297333333333341</v>
      </c>
      <c r="F49" s="59">
        <f>inter($B49/10,F$42,'[4]Clin-PDD'!$A$34:$I$41)</f>
        <v>67.175000000000011</v>
      </c>
      <c r="G49" s="59">
        <f>inter($B49/10,G$42,'[4]Clin-PDD'!$A$34:$I$41)</f>
        <v>67.909666666666666</v>
      </c>
      <c r="H49" s="59">
        <f>inter($B49/10,H$42,'[4]Clin-PDD'!$A$34:$I$41)</f>
        <v>68.553493928628342</v>
      </c>
      <c r="I49" s="60">
        <f>inter($B49/10,I$42,'[4]Clin-PDD'!$A$34:$I$41)</f>
        <v>69.654148452551681</v>
      </c>
    </row>
    <row r="50" spans="1:10" x14ac:dyDescent="0.25">
      <c r="A50" s="203"/>
      <c r="B50" s="152">
        <v>7</v>
      </c>
      <c r="C50" s="58">
        <f>inter($B50/10,C$42,'[4]Clin-PDD'!$A$34:$I$41)</f>
        <v>58.373571428571431</v>
      </c>
      <c r="D50" s="59">
        <f>inter($B50/10,D$42,'[4]Clin-PDD'!$A$34:$I$41)</f>
        <v>60.587785714285722</v>
      </c>
      <c r="E50" s="59">
        <f>inter($B50/10,E$42,'[4]Clin-PDD'!$A$34:$I$41)</f>
        <v>62.061333333333337</v>
      </c>
      <c r="F50" s="59">
        <f>inter($B50/10,F$42,'[4]Clin-PDD'!$A$34:$I$41)</f>
        <v>62.984833333333334</v>
      </c>
      <c r="G50" s="59">
        <f>inter($B50/10,G$42,'[4]Clin-PDD'!$A$34:$I$41)</f>
        <v>63.737833333333327</v>
      </c>
      <c r="H50" s="59">
        <f>inter($B50/10,H$42,'[4]Clin-PDD'!$A$34:$I$41)</f>
        <v>64.43772900792257</v>
      </c>
      <c r="I50" s="60">
        <f>inter($B50/10,I$42,'[4]Clin-PDD'!$A$34:$I$41)</f>
        <v>65.63035369043439</v>
      </c>
    </row>
    <row r="51" spans="1:10" x14ac:dyDescent="0.25">
      <c r="A51" s="203"/>
      <c r="B51" s="152">
        <v>8</v>
      </c>
      <c r="C51" s="58">
        <f>inter($B51/10,C$42,'[4]Clin-PDD'!$A$34:$I$41)</f>
        <v>53.884571428571427</v>
      </c>
      <c r="D51" s="59">
        <f>inter($B51/10,D$42,'[4]Clin-PDD'!$A$34:$I$41)</f>
        <v>56.265619047619047</v>
      </c>
      <c r="E51" s="59">
        <f>inter($B51/10,E$42,'[4]Clin-PDD'!$A$34:$I$41)</f>
        <v>57.825333333333333</v>
      </c>
      <c r="F51" s="59">
        <f>inter($B51/10,F$42,'[4]Clin-PDD'!$A$34:$I$41)</f>
        <v>58.794666666666664</v>
      </c>
      <c r="G51" s="59">
        <f>inter($B51/10,G$42,'[4]Clin-PDD'!$A$34:$I$41)</f>
        <v>59.565999999999995</v>
      </c>
      <c r="H51" s="59">
        <f>inter($B51/10,H$42,'[4]Clin-PDD'!$A$34:$I$41)</f>
        <v>60.321964087216813</v>
      </c>
      <c r="I51" s="60">
        <f>inter($B51/10,I$42,'[4]Clin-PDD'!$A$34:$I$41)</f>
        <v>61.606558928317106</v>
      </c>
    </row>
    <row r="52" spans="1:10" x14ac:dyDescent="0.25">
      <c r="A52" s="203"/>
      <c r="B52" s="152">
        <v>9</v>
      </c>
      <c r="C52" s="58">
        <f>inter($B52/10,C$42,'[4]Clin-PDD'!$A$34:$I$41)</f>
        <v>51.348821428571426</v>
      </c>
      <c r="D52" s="59">
        <f>inter($B52/10,D$42,'[4]Clin-PDD'!$A$34:$I$41)</f>
        <v>53.723452380952381</v>
      </c>
      <c r="E52" s="59">
        <f>inter($B52/10,E$42,'[4]Clin-PDD'!$A$34:$I$41)</f>
        <v>55.285000000000004</v>
      </c>
      <c r="F52" s="59">
        <f>inter($B52/10,F$42,'[4]Clin-PDD'!$A$34:$I$41)</f>
        <v>56.257083333333334</v>
      </c>
      <c r="G52" s="59">
        <f>inter($B52/10,G$42,'[4]Clin-PDD'!$A$34:$I$41)</f>
        <v>57.026583333333328</v>
      </c>
      <c r="H52" s="59">
        <f>inter($B52/10,H$42,'[4]Clin-PDD'!$A$34:$I$41)</f>
        <v>57.74991448759905</v>
      </c>
      <c r="I52" s="60">
        <f>inter($B52/10,I$42,'[4]Clin-PDD'!$A$34:$I$41)</f>
        <v>58.962826796130479</v>
      </c>
    </row>
    <row r="53" spans="1:10" x14ac:dyDescent="0.25">
      <c r="A53" s="203"/>
      <c r="B53" s="152">
        <v>10</v>
      </c>
      <c r="C53" s="58">
        <f>inter($B53/10,C$42,'[4]Clin-PDD'!$A$34:$I$41)</f>
        <v>48.813071428571426</v>
      </c>
      <c r="D53" s="59">
        <f>inter($B53/10,D$42,'[4]Clin-PDD'!$A$34:$I$41)</f>
        <v>51.181285714285714</v>
      </c>
      <c r="E53" s="59">
        <f>inter($B53/10,E$42,'[4]Clin-PDD'!$A$34:$I$41)</f>
        <v>52.744666666666667</v>
      </c>
      <c r="F53" s="59">
        <f>inter($B53/10,F$42,'[4]Clin-PDD'!$A$34:$I$41)</f>
        <v>53.719499999999996</v>
      </c>
      <c r="G53" s="59">
        <f>inter($B53/10,G$42,'[4]Clin-PDD'!$A$34:$I$41)</f>
        <v>54.487166666666667</v>
      </c>
      <c r="H53" s="59">
        <f>inter($B53/10,H$42,'[4]Clin-PDD'!$A$34:$I$41)</f>
        <v>55.177864887981286</v>
      </c>
      <c r="I53" s="60">
        <f>inter($B53/10,I$42,'[4]Clin-PDD'!$A$34:$I$41)</f>
        <v>56.319094663943844</v>
      </c>
    </row>
    <row r="54" spans="1:10" x14ac:dyDescent="0.25">
      <c r="A54" s="203"/>
      <c r="B54" s="149">
        <v>15</v>
      </c>
      <c r="C54" s="58">
        <f>inter($B54/10,C$42,'[4]Clin-PDD'!$A$34:$I$41)</f>
        <v>36.134321428571425</v>
      </c>
      <c r="D54" s="59">
        <f>inter($B54/10,D$42,'[4]Clin-PDD'!$A$34:$I$41)</f>
        <v>38.470452380952381</v>
      </c>
      <c r="E54" s="59">
        <f>inter($B54/10,E$42,'[4]Clin-PDD'!$A$34:$I$41)</f>
        <v>40.043000000000006</v>
      </c>
      <c r="F54" s="59">
        <f>inter($B54/10,F$42,'[4]Clin-PDD'!$A$34:$I$41)</f>
        <v>41.031583333333337</v>
      </c>
      <c r="G54" s="59">
        <f>inter($B54/10,G$42,'[4]Clin-PDD'!$A$34:$I$41)</f>
        <v>41.790083333333335</v>
      </c>
      <c r="H54" s="59">
        <f>inter($B54/10,H$42,'[4]Clin-PDD'!$A$34:$I$41)</f>
        <v>42.317616889892463</v>
      </c>
      <c r="I54" s="60">
        <f>inter($B54/10,I$42,'[4]Clin-PDD'!$A$34:$I$41)</f>
        <v>43.10043400301069</v>
      </c>
    </row>
    <row r="55" spans="1:10" x14ac:dyDescent="0.25">
      <c r="A55" s="203"/>
      <c r="B55" s="149">
        <v>20</v>
      </c>
      <c r="C55" s="58">
        <f>inter($B55/10,C$42,'[4]Clin-PDD'!$A$34:$I$41)</f>
        <v>28.011904761904759</v>
      </c>
      <c r="D55" s="59">
        <f>inter($B55/10,D$42,'[4]Clin-PDD'!$A$34:$I$41)</f>
        <v>30.121619047619049</v>
      </c>
      <c r="E55" s="59">
        <f>inter($B55/10,E$42,'[4]Clin-PDD'!$A$34:$I$41)</f>
        <v>31.637333333333338</v>
      </c>
      <c r="F55" s="59">
        <f>inter($B55/10,F$42,'[4]Clin-PDD'!$A$34:$I$41)</f>
        <v>32.614000000000004</v>
      </c>
      <c r="G55" s="59">
        <f>inter($B55/10,G$42,'[4]Clin-PDD'!$A$34:$I$41)</f>
        <v>33.370666666666665</v>
      </c>
      <c r="H55" s="59">
        <f>inter($B55/10,H$42,'[4]Clin-PDD'!$A$34:$I$41)</f>
        <v>33.800346475702156</v>
      </c>
      <c r="I55" s="60">
        <f>inter($B55/10,I$42,'[4]Clin-PDD'!$A$34:$I$41)</f>
        <v>34.388372760439793</v>
      </c>
    </row>
    <row r="56" spans="1:10" x14ac:dyDescent="0.25">
      <c r="A56" s="203"/>
      <c r="B56" s="150">
        <v>30</v>
      </c>
      <c r="C56" s="61">
        <f>inter($B56/10,C$42,'[4]Clin-PDD'!$A$34:$I$41)</f>
        <v>16.272229166666669</v>
      </c>
      <c r="D56" s="62">
        <f>inter($B56/10,D$42,'[4]Clin-PDD'!$A$34:$I$41)</f>
        <v>17.940952380952382</v>
      </c>
      <c r="E56" s="62">
        <f>inter($B56/10,E$42,'[4]Clin-PDD'!$A$34:$I$41)</f>
        <v>19.282500000000002</v>
      </c>
      <c r="F56" s="62">
        <f>inter($B56/10,F$42,'[4]Clin-PDD'!$A$34:$I$41)</f>
        <v>20.211500000000001</v>
      </c>
      <c r="G56" s="62">
        <f>inter($B56/10,G$42,'[4]Clin-PDD'!$A$34:$I$41)</f>
        <v>20.957166666666669</v>
      </c>
      <c r="H56" s="62">
        <f>inter($B56/10,H$42,'[4]Clin-PDD'!$A$34:$I$41)</f>
        <v>21.415993342076895</v>
      </c>
      <c r="I56" s="63">
        <f>inter($B56/10,I$42,'[4]Clin-PDD'!$A$34:$I$41)</f>
        <v>22.113646692897348</v>
      </c>
    </row>
    <row r="57" spans="1:10" x14ac:dyDescent="0.25">
      <c r="A57" s="1"/>
      <c r="B57" s="23"/>
      <c r="C57" s="23"/>
      <c r="D57" s="23"/>
      <c r="E57" s="23"/>
      <c r="F57" s="23"/>
      <c r="G57" s="23"/>
      <c r="H57" s="23"/>
      <c r="I57" s="23"/>
      <c r="J57" s="23"/>
    </row>
    <row r="58" spans="1:10" ht="18" customHeight="1" x14ac:dyDescent="0.25">
      <c r="C58" s="1"/>
      <c r="D58" s="1"/>
      <c r="E58" s="1"/>
      <c r="F58" s="1"/>
    </row>
    <row r="59" spans="1:10" ht="18" x14ac:dyDescent="0.25">
      <c r="A59" s="202" t="s">
        <v>39</v>
      </c>
      <c r="B59" s="202"/>
      <c r="C59" s="214" t="s">
        <v>27</v>
      </c>
      <c r="D59" s="214"/>
      <c r="E59" s="214"/>
      <c r="F59" s="214"/>
      <c r="G59" s="214"/>
      <c r="H59" s="214"/>
      <c r="I59" s="214"/>
      <c r="J59" s="214"/>
    </row>
    <row r="60" spans="1:10" x14ac:dyDescent="0.25">
      <c r="A60" s="1"/>
      <c r="B60" s="23"/>
      <c r="C60" s="46">
        <v>1</v>
      </c>
      <c r="D60" s="47">
        <f>'[4]Clin-PDD'!D$46</f>
        <v>2</v>
      </c>
      <c r="E60" s="47">
        <f>'[4]Clin-PDD'!E$46</f>
        <v>3</v>
      </c>
      <c r="F60" s="47">
        <f>'[4]Clin-PDD'!F$46</f>
        <v>4</v>
      </c>
      <c r="G60" s="47">
        <f>'[4]Clin-PDD'!G$46</f>
        <v>5</v>
      </c>
      <c r="H60" s="47">
        <f>'[4]Clin-PDD'!H$46</f>
        <v>6</v>
      </c>
      <c r="I60" s="47">
        <f>'[4]Clin-PDD'!I$46</f>
        <v>10</v>
      </c>
      <c r="J60" s="48">
        <f>'[4]Clin-PDD'!J$46</f>
        <v>15</v>
      </c>
    </row>
    <row r="61" spans="1:10" ht="15" customHeight="1" x14ac:dyDescent="0.25">
      <c r="A61" s="203" t="s">
        <v>32</v>
      </c>
      <c r="B61" s="151">
        <v>0</v>
      </c>
      <c r="C61" s="49">
        <f>'[4]Clin-PDD'!B47</f>
        <v>100</v>
      </c>
      <c r="D61" s="50">
        <f>'[4]Clin-PDD'!D47</f>
        <v>100</v>
      </c>
      <c r="E61" s="50">
        <f>'[4]Clin-PDD'!E47</f>
        <v>100</v>
      </c>
      <c r="F61" s="50">
        <f>'[4]Clin-PDD'!F47</f>
        <v>100</v>
      </c>
      <c r="G61" s="50">
        <f>'[4]Clin-PDD'!G47</f>
        <v>100</v>
      </c>
      <c r="H61" s="50">
        <f>'[4]Clin-PDD'!H47</f>
        <v>100</v>
      </c>
      <c r="I61" s="50">
        <f>'[4]Clin-PDD'!I47</f>
        <v>100</v>
      </c>
      <c r="J61" s="51">
        <f>'[4]Clin-PDD'!J47</f>
        <v>100</v>
      </c>
    </row>
    <row r="62" spans="1:10" x14ac:dyDescent="0.25">
      <c r="A62" s="203"/>
      <c r="B62" s="152">
        <v>1</v>
      </c>
      <c r="C62" s="58">
        <f>inter($B62/10,C$60,'[4]Clin-PDD'!$A$46:$J$53)</f>
        <v>93.539582207132582</v>
      </c>
      <c r="D62" s="59">
        <f>inter($B62/10,D$60,'[4]Clin-PDD'!$A$46:$J$53)</f>
        <v>94.001173708492018</v>
      </c>
      <c r="E62" s="59">
        <f>inter($B62/10,E$60,'[4]Clin-PDD'!$A$46:$J$53)</f>
        <v>94.352765209851455</v>
      </c>
      <c r="F62" s="59">
        <f>inter($B62/10,F$60,'[4]Clin-PDD'!$A$46:$J$53)</f>
        <v>94.533914601591178</v>
      </c>
      <c r="G62" s="59">
        <f>inter($B62/10,G$60,'[4]Clin-PDD'!$A$46:$J$53)</f>
        <v>94.678397326664225</v>
      </c>
      <c r="H62" s="59">
        <f>inter($B62/10,H$60,'[4]Clin-PDD'!$A$46:$J$53)</f>
        <v>94.746574170855695</v>
      </c>
      <c r="I62" s="59">
        <f>inter($B62/10,I$60,'[4]Clin-PDD'!$A$46:$J$53)</f>
        <v>94.93861488095493</v>
      </c>
      <c r="J62" s="60">
        <f>inter($B62/10,J$60,'[4]Clin-PDD'!$A$46:$J$53)</f>
        <v>95.128008158366825</v>
      </c>
    </row>
    <row r="63" spans="1:10" x14ac:dyDescent="0.25">
      <c r="A63" s="203"/>
      <c r="B63" s="152">
        <v>2</v>
      </c>
      <c r="C63" s="58">
        <f>inter($B63/10,C$60,'[4]Clin-PDD'!$A$46:$J$53)</f>
        <v>87.079164414265179</v>
      </c>
      <c r="D63" s="59">
        <f>inter($B63/10,D$60,'[4]Clin-PDD'!$A$46:$J$53)</f>
        <v>88.002347416984037</v>
      </c>
      <c r="E63" s="59">
        <f>inter($B63/10,E$60,'[4]Clin-PDD'!$A$46:$J$53)</f>
        <v>88.70553041970291</v>
      </c>
      <c r="F63" s="59">
        <f>inter($B63/10,F$60,'[4]Clin-PDD'!$A$46:$J$53)</f>
        <v>89.067829203182356</v>
      </c>
      <c r="G63" s="59">
        <f>inter($B63/10,G$60,'[4]Clin-PDD'!$A$46:$J$53)</f>
        <v>89.35679465332845</v>
      </c>
      <c r="H63" s="59">
        <f>inter($B63/10,H$60,'[4]Clin-PDD'!$A$46:$J$53)</f>
        <v>89.493148341711404</v>
      </c>
      <c r="I63" s="59">
        <f>inter($B63/10,I$60,'[4]Clin-PDD'!$A$46:$J$53)</f>
        <v>89.877229761909874</v>
      </c>
      <c r="J63" s="60">
        <f>inter($B63/10,J$60,'[4]Clin-PDD'!$A$46:$J$53)</f>
        <v>90.25601631673365</v>
      </c>
    </row>
    <row r="64" spans="1:10" x14ac:dyDescent="0.25">
      <c r="A64" s="203"/>
      <c r="B64" s="152">
        <v>3</v>
      </c>
      <c r="C64" s="58">
        <f>inter($B64/10,C$60,'[4]Clin-PDD'!$A$46:$J$53)</f>
        <v>80.618746621397776</v>
      </c>
      <c r="D64" s="59">
        <f>inter($B64/10,D$60,'[4]Clin-PDD'!$A$46:$J$53)</f>
        <v>82.00352112547607</v>
      </c>
      <c r="E64" s="59">
        <f>inter($B64/10,E$60,'[4]Clin-PDD'!$A$46:$J$53)</f>
        <v>83.058295629554365</v>
      </c>
      <c r="F64" s="59">
        <f>inter($B64/10,F$60,'[4]Clin-PDD'!$A$46:$J$53)</f>
        <v>83.60174380477352</v>
      </c>
      <c r="G64" s="59">
        <f>inter($B64/10,G$60,'[4]Clin-PDD'!$A$46:$J$53)</f>
        <v>84.035191979992661</v>
      </c>
      <c r="H64" s="59">
        <f>inter($B64/10,H$60,'[4]Clin-PDD'!$A$46:$J$53)</f>
        <v>84.239722512567099</v>
      </c>
      <c r="I64" s="59">
        <f>inter($B64/10,I$60,'[4]Clin-PDD'!$A$46:$J$53)</f>
        <v>84.815844642864803</v>
      </c>
      <c r="J64" s="60">
        <f>inter($B64/10,J$60,'[4]Clin-PDD'!$A$46:$J$53)</f>
        <v>85.384024475100475</v>
      </c>
    </row>
    <row r="65" spans="1:11" x14ac:dyDescent="0.25">
      <c r="A65" s="203"/>
      <c r="B65" s="152">
        <v>4</v>
      </c>
      <c r="C65" s="58">
        <f>inter($B65/10,C$60,'[4]Clin-PDD'!$A$46:$J$53)</f>
        <v>74.158328828530358</v>
      </c>
      <c r="D65" s="59">
        <f>inter($B65/10,D$60,'[4]Clin-PDD'!$A$46:$J$53)</f>
        <v>76.004694833968088</v>
      </c>
      <c r="E65" s="59">
        <f>inter($B65/10,E$60,'[4]Clin-PDD'!$A$46:$J$53)</f>
        <v>77.41106083940582</v>
      </c>
      <c r="F65" s="59">
        <f>inter($B65/10,F$60,'[4]Clin-PDD'!$A$46:$J$53)</f>
        <v>78.135658406364698</v>
      </c>
      <c r="G65" s="59">
        <f>inter($B65/10,G$60,'[4]Clin-PDD'!$A$46:$J$53)</f>
        <v>78.713589306656885</v>
      </c>
      <c r="H65" s="59">
        <f>inter($B65/10,H$60,'[4]Clin-PDD'!$A$46:$J$53)</f>
        <v>78.986296683422793</v>
      </c>
      <c r="I65" s="59">
        <f>inter($B65/10,I$60,'[4]Clin-PDD'!$A$46:$J$53)</f>
        <v>79.754459523819733</v>
      </c>
      <c r="J65" s="60">
        <f>inter($B65/10,J$60,'[4]Clin-PDD'!$A$46:$J$53)</f>
        <v>80.5120326334673</v>
      </c>
    </row>
    <row r="66" spans="1:11" x14ac:dyDescent="0.25">
      <c r="A66" s="203"/>
      <c r="B66" s="152">
        <v>5</v>
      </c>
      <c r="C66" s="58">
        <f>inter($B66/10,C$60,'[4]Clin-PDD'!$A$46:$J$53)</f>
        <v>69.899327733655511</v>
      </c>
      <c r="D66" s="59">
        <f>inter($B66/10,D$60,'[4]Clin-PDD'!$A$46:$J$53)</f>
        <v>71.872890898600645</v>
      </c>
      <c r="E66" s="59">
        <f>inter($B66/10,E$60,'[4]Clin-PDD'!$A$46:$J$53)</f>
        <v>73.362454063545783</v>
      </c>
      <c r="F66" s="59">
        <f>inter($B66/10,F$60,'[4]Clin-PDD'!$A$46:$J$53)</f>
        <v>74.134539723035715</v>
      </c>
      <c r="G66" s="59">
        <f>inter($B66/10,G$60,'[4]Clin-PDD'!$A$46:$J$53)</f>
        <v>74.739792049192289</v>
      </c>
      <c r="H66" s="59">
        <f>inter($B66/10,H$60,'[4]Clin-PDD'!$A$46:$J$53)</f>
        <v>75.063713380311256</v>
      </c>
      <c r="I66" s="59">
        <f>inter($B66/10,I$60,'[4]Clin-PDD'!$A$46:$J$53)</f>
        <v>76.005565371453756</v>
      </c>
      <c r="J66" s="60">
        <f>inter($B66/10,J$60,'[4]Clin-PDD'!$A$46:$J$53)</f>
        <v>76.793110220166028</v>
      </c>
    </row>
    <row r="67" spans="1:11" x14ac:dyDescent="0.25">
      <c r="A67" s="203"/>
      <c r="B67" s="152">
        <v>6</v>
      </c>
      <c r="C67" s="58">
        <f>inter($B67/10,C$60,'[4]Clin-PDD'!$A$46:$J$53)</f>
        <v>65.640326638780664</v>
      </c>
      <c r="D67" s="59">
        <f>inter($B67/10,D$60,'[4]Clin-PDD'!$A$46:$J$53)</f>
        <v>67.741086963233201</v>
      </c>
      <c r="E67" s="59">
        <f>inter($B67/10,E$60,'[4]Clin-PDD'!$A$46:$J$53)</f>
        <v>69.313847287685746</v>
      </c>
      <c r="F67" s="59">
        <f>inter($B67/10,F$60,'[4]Clin-PDD'!$A$46:$J$53)</f>
        <v>70.133421039706718</v>
      </c>
      <c r="G67" s="59">
        <f>inter($B67/10,G$60,'[4]Clin-PDD'!$A$46:$J$53)</f>
        <v>70.765994791727678</v>
      </c>
      <c r="H67" s="59">
        <f>inter($B67/10,H$60,'[4]Clin-PDD'!$A$46:$J$53)</f>
        <v>71.141130077199705</v>
      </c>
      <c r="I67" s="59">
        <f>inter($B67/10,I$60,'[4]Clin-PDD'!$A$46:$J$53)</f>
        <v>72.256671219087778</v>
      </c>
      <c r="J67" s="60">
        <f>inter($B67/10,J$60,'[4]Clin-PDD'!$A$46:$J$53)</f>
        <v>73.074187806864742</v>
      </c>
    </row>
    <row r="68" spans="1:11" x14ac:dyDescent="0.25">
      <c r="A68" s="203"/>
      <c r="B68" s="152">
        <v>7</v>
      </c>
      <c r="C68" s="58">
        <f>inter($B68/10,C$60,'[4]Clin-PDD'!$A$46:$J$53)</f>
        <v>61.381325543905817</v>
      </c>
      <c r="D68" s="59">
        <f>inter($B68/10,D$60,'[4]Clin-PDD'!$A$46:$J$53)</f>
        <v>63.609283027865757</v>
      </c>
      <c r="E68" s="59">
        <f>inter($B68/10,E$60,'[4]Clin-PDD'!$A$46:$J$53)</f>
        <v>65.265240511825709</v>
      </c>
      <c r="F68" s="59">
        <f>inter($B68/10,F$60,'[4]Clin-PDD'!$A$46:$J$53)</f>
        <v>66.132302356377735</v>
      </c>
      <c r="G68" s="59">
        <f>inter($B68/10,G$60,'[4]Clin-PDD'!$A$46:$J$53)</f>
        <v>66.792197534263082</v>
      </c>
      <c r="H68" s="59">
        <f>inter($B68/10,H$60,'[4]Clin-PDD'!$A$46:$J$53)</f>
        <v>67.218546774088168</v>
      </c>
      <c r="I68" s="59">
        <f>inter($B68/10,I$60,'[4]Clin-PDD'!$A$46:$J$53)</f>
        <v>68.5077770667218</v>
      </c>
      <c r="J68" s="60">
        <f>inter($B68/10,J$60,'[4]Clin-PDD'!$A$46:$J$53)</f>
        <v>69.355265393563471</v>
      </c>
    </row>
    <row r="69" spans="1:11" x14ac:dyDescent="0.25">
      <c r="A69" s="203"/>
      <c r="B69" s="152">
        <v>8</v>
      </c>
      <c r="C69" s="58">
        <f>inter($B69/10,C$60,'[4]Clin-PDD'!$A$46:$J$53)</f>
        <v>57.12232444903097</v>
      </c>
      <c r="D69" s="59">
        <f>inter($B69/10,D$60,'[4]Clin-PDD'!$A$46:$J$53)</f>
        <v>59.477479092498314</v>
      </c>
      <c r="E69" s="59">
        <f>inter($B69/10,E$60,'[4]Clin-PDD'!$A$46:$J$53)</f>
        <v>61.216633735965665</v>
      </c>
      <c r="F69" s="59">
        <f>inter($B69/10,F$60,'[4]Clin-PDD'!$A$46:$J$53)</f>
        <v>62.131183673048739</v>
      </c>
      <c r="G69" s="59">
        <f>inter($B69/10,G$60,'[4]Clin-PDD'!$A$46:$J$53)</f>
        <v>62.818400276798478</v>
      </c>
      <c r="H69" s="59">
        <f>inter($B69/10,H$60,'[4]Clin-PDD'!$A$46:$J$53)</f>
        <v>63.295963470976616</v>
      </c>
      <c r="I69" s="59">
        <f>inter($B69/10,I$60,'[4]Clin-PDD'!$A$46:$J$53)</f>
        <v>64.758882914355823</v>
      </c>
      <c r="J69" s="60">
        <f>inter($B69/10,J$60,'[4]Clin-PDD'!$A$46:$J$53)</f>
        <v>65.636342980262185</v>
      </c>
    </row>
    <row r="70" spans="1:11" x14ac:dyDescent="0.25">
      <c r="A70" s="203"/>
      <c r="B70" s="152">
        <v>9</v>
      </c>
      <c r="C70" s="58">
        <f>inter($B70/10,C$60,'[4]Clin-PDD'!$A$46:$J$53)</f>
        <v>54.514463257970931</v>
      </c>
      <c r="D70" s="59">
        <f>inter($B70/10,D$60,'[4]Clin-PDD'!$A$46:$J$53)</f>
        <v>56.870513851886415</v>
      </c>
      <c r="E70" s="59">
        <f>inter($B70/10,E$60,'[4]Clin-PDD'!$A$46:$J$53)</f>
        <v>58.613314445801905</v>
      </c>
      <c r="F70" s="59">
        <f>inter($B70/10,F$60,'[4]Clin-PDD'!$A$46:$J$53)</f>
        <v>59.531740752973135</v>
      </c>
      <c r="G70" s="59">
        <f>inter($B70/10,G$60,'[4]Clin-PDD'!$A$46:$J$53)</f>
        <v>60.221917060144364</v>
      </c>
      <c r="H70" s="59">
        <f>inter($B70/10,H$60,'[4]Clin-PDD'!$A$46:$J$53)</f>
        <v>60.690197474631667</v>
      </c>
      <c r="I70" s="59">
        <f>inter($B70/10,I$60,'[4]Clin-PDD'!$A$46:$J$53)</f>
        <v>62.101319132580862</v>
      </c>
      <c r="J70" s="60">
        <f>inter($B70/10,J$60,'[4]Clin-PDD'!$A$46:$J$53)</f>
        <v>62.983128046918296</v>
      </c>
    </row>
    <row r="71" spans="1:11" x14ac:dyDescent="0.25">
      <c r="A71" s="203"/>
      <c r="B71" s="152">
        <v>10</v>
      </c>
      <c r="C71" s="58">
        <f>inter($B71/10,C$60,'[4]Clin-PDD'!$A$46:$J$53)</f>
        <v>51.906602066910899</v>
      </c>
      <c r="D71" s="59">
        <f>inter($B71/10,D$60,'[4]Clin-PDD'!$A$46:$J$53)</f>
        <v>54.263548611274516</v>
      </c>
      <c r="E71" s="59">
        <f>inter($B71/10,E$60,'[4]Clin-PDD'!$A$46:$J$53)</f>
        <v>56.009995155638137</v>
      </c>
      <c r="F71" s="59">
        <f>inter($B71/10,F$60,'[4]Clin-PDD'!$A$46:$J$53)</f>
        <v>56.932297832897525</v>
      </c>
      <c r="G71" s="59">
        <f>inter($B71/10,G$60,'[4]Clin-PDD'!$A$46:$J$53)</f>
        <v>57.625433843490242</v>
      </c>
      <c r="H71" s="59">
        <f>inter($B71/10,H$60,'[4]Clin-PDD'!$A$46:$J$53)</f>
        <v>58.08443147828671</v>
      </c>
      <c r="I71" s="59">
        <f>inter($B71/10,I$60,'[4]Clin-PDD'!$A$46:$J$53)</f>
        <v>59.443755350805901</v>
      </c>
      <c r="J71" s="60">
        <f>inter($B71/10,J$60,'[4]Clin-PDD'!$A$46:$J$53)</f>
        <v>60.329913113574413</v>
      </c>
    </row>
    <row r="72" spans="1:11" x14ac:dyDescent="0.25">
      <c r="A72" s="203"/>
      <c r="B72" s="149">
        <v>15</v>
      </c>
      <c r="C72" s="58">
        <f>inter($B72/10,C$60,'[4]Clin-PDD'!$A$46:$J$53)</f>
        <v>38.86729611161072</v>
      </c>
      <c r="D72" s="59">
        <f>inter($B72/10,D$60,'[4]Clin-PDD'!$A$46:$J$53)</f>
        <v>41.22872240821502</v>
      </c>
      <c r="E72" s="59">
        <f>inter($B72/10,E$60,'[4]Clin-PDD'!$A$46:$J$53)</f>
        <v>42.99339870481932</v>
      </c>
      <c r="F72" s="59">
        <f>inter($B72/10,F$60,'[4]Clin-PDD'!$A$46:$J$53)</f>
        <v>43.935083232519489</v>
      </c>
      <c r="G72" s="59">
        <f>inter($B72/10,G$60,'[4]Clin-PDD'!$A$46:$J$53)</f>
        <v>44.643017760219664</v>
      </c>
      <c r="H72" s="59">
        <f>inter($B72/10,H$60,'[4]Clin-PDD'!$A$46:$J$53)</f>
        <v>45.055601496561948</v>
      </c>
      <c r="I72" s="59">
        <f>inter($B72/10,I$60,'[4]Clin-PDD'!$A$46:$J$53)</f>
        <v>46.15593644193109</v>
      </c>
      <c r="J72" s="60">
        <f>inter($B72/10,J$60,'[4]Clin-PDD'!$A$46:$J$53)</f>
        <v>47.06383844685498</v>
      </c>
    </row>
    <row r="73" spans="1:11" x14ac:dyDescent="0.25">
      <c r="A73" s="203"/>
      <c r="B73" s="149">
        <v>20</v>
      </c>
      <c r="C73" s="58">
        <f>inter($B73/10,C$60,'[4]Clin-PDD'!$A$46:$J$53)</f>
        <v>30.323209115064934</v>
      </c>
      <c r="D73" s="59">
        <f>inter($B73/10,D$60,'[4]Clin-PDD'!$A$46:$J$53)</f>
        <v>32.528283939794278</v>
      </c>
      <c r="E73" s="59">
        <f>inter($B73/10,E$60,'[4]Clin-PDD'!$A$46:$J$53)</f>
        <v>34.227358764523629</v>
      </c>
      <c r="F73" s="59">
        <f>inter($B73/10,F$60,'[4]Clin-PDD'!$A$46:$J$53)</f>
        <v>35.14913299607867</v>
      </c>
      <c r="G73" s="59">
        <f>inter($B73/10,G$60,'[4]Clin-PDD'!$A$46:$J$53)</f>
        <v>35.858240560967047</v>
      </c>
      <c r="H73" s="59">
        <f>inter($B73/10,H$60,'[4]Clin-PDD'!$A$46:$J$53)</f>
        <v>36.261153948991421</v>
      </c>
      <c r="I73" s="59">
        <f>inter($B73/10,I$60,'[4]Clin-PDD'!$A$46:$J$53)</f>
        <v>37.330140834422266</v>
      </c>
      <c r="J73" s="60">
        <f>inter($B73/10,J$60,'[4]Clin-PDD'!$A$46:$J$53)</f>
        <v>38.230727840011724</v>
      </c>
    </row>
    <row r="74" spans="1:11" x14ac:dyDescent="0.25">
      <c r="A74" s="203"/>
      <c r="B74" s="150">
        <v>30</v>
      </c>
      <c r="C74" s="61">
        <f>inter($B74/10,C$60,'[4]Clin-PDD'!$A$46:$J$53)</f>
        <v>18.777788204561279</v>
      </c>
      <c r="D74" s="62">
        <f>inter($B74/10,D$60,'[4]Clin-PDD'!$A$46:$J$53)</f>
        <v>20.518734220976803</v>
      </c>
      <c r="E74" s="62">
        <f>inter($B74/10,E$60,'[4]Clin-PDD'!$A$46:$J$53)</f>
        <v>22.012180237392325</v>
      </c>
      <c r="F74" s="62">
        <f>inter($B74/10,F$60,'[4]Clin-PDD'!$A$46:$J$53)</f>
        <v>22.863724794325165</v>
      </c>
      <c r="G74" s="62">
        <f>inter($B74/10,G$60,'[4]Clin-PDD'!$A$46:$J$53)</f>
        <v>23.563102684591339</v>
      </c>
      <c r="H74" s="62">
        <f>inter($B74/10,H$60,'[4]Clin-PDD'!$A$46:$J$53)</f>
        <v>23.954100777749137</v>
      </c>
      <c r="I74" s="62">
        <f>inter($B74/10,I$60,'[4]Clin-PDD'!$A$46:$J$53)</f>
        <v>25.074426483713673</v>
      </c>
      <c r="J74" s="63">
        <f>inter($B74/10,J$60,'[4]Clin-PDD'!$A$46:$J$53)</f>
        <v>25.946243040409275</v>
      </c>
    </row>
    <row r="76" spans="1:11" x14ac:dyDescent="0.25">
      <c r="A76" s="82" t="s">
        <v>42</v>
      </c>
    </row>
    <row r="77" spans="1:11" x14ac:dyDescent="0.25">
      <c r="A77" s="82" t="s">
        <v>41</v>
      </c>
    </row>
    <row r="78" spans="1:11" ht="18" x14ac:dyDescent="0.25">
      <c r="A78" s="2" t="s">
        <v>33</v>
      </c>
    </row>
    <row r="80" spans="1:11" ht="18.75" x14ac:dyDescent="0.3">
      <c r="A80" s="204" t="s">
        <v>29</v>
      </c>
      <c r="B80" s="205"/>
      <c r="C80" s="205"/>
      <c r="D80" s="205"/>
      <c r="E80" s="205"/>
      <c r="F80" s="205"/>
      <c r="G80" s="205"/>
      <c r="H80" s="205"/>
      <c r="I80" s="205"/>
      <c r="J80" s="205"/>
      <c r="K80" s="206"/>
    </row>
    <row r="82" spans="1:11" ht="18" customHeight="1" x14ac:dyDescent="0.25">
      <c r="C82" s="1"/>
      <c r="D82" s="1"/>
      <c r="E82" s="1"/>
      <c r="F82" s="1"/>
    </row>
    <row r="83" spans="1:11" ht="18" x14ac:dyDescent="0.25">
      <c r="A83" s="213" t="s">
        <v>20</v>
      </c>
      <c r="B83" s="213"/>
      <c r="C83" s="77" t="s">
        <v>27</v>
      </c>
      <c r="D83" s="77"/>
      <c r="E83" s="77"/>
      <c r="F83" s="77"/>
      <c r="G83" s="77"/>
      <c r="H83" s="77"/>
      <c r="I83" s="77"/>
      <c r="J83" s="77"/>
    </row>
    <row r="84" spans="1:11" x14ac:dyDescent="0.25">
      <c r="A84" s="1"/>
      <c r="B84" s="23"/>
      <c r="C84" s="46">
        <v>1</v>
      </c>
      <c r="D84" s="80">
        <v>1.5</v>
      </c>
      <c r="E84" s="47">
        <f>'[4]Clin-PDD'!D$61</f>
        <v>2</v>
      </c>
      <c r="F84" s="47">
        <f>'[4]Clin-PDD'!E$61</f>
        <v>3</v>
      </c>
      <c r="G84" s="47">
        <f>'[4]Clin-PDD'!F$61</f>
        <v>4</v>
      </c>
      <c r="H84" s="47">
        <f>'[4]Clin-PDD'!G$61</f>
        <v>5</v>
      </c>
      <c r="I84" s="47">
        <f>'[4]Clin-PDD'!H$61</f>
        <v>6</v>
      </c>
      <c r="J84" s="48">
        <f>'[4]Clin-PDD'!I$61</f>
        <v>8</v>
      </c>
      <c r="K84" s="23"/>
    </row>
    <row r="85" spans="1:11" ht="15" customHeight="1" x14ac:dyDescent="0.25">
      <c r="A85" s="203" t="s">
        <v>32</v>
      </c>
      <c r="B85" s="151">
        <v>0</v>
      </c>
      <c r="C85" s="49">
        <f>'[4]Clin-PDD'!B62</f>
        <v>100</v>
      </c>
      <c r="D85" s="50">
        <v>100</v>
      </c>
      <c r="E85" s="50">
        <f>'[4]Clin-PDD'!D62</f>
        <v>100</v>
      </c>
      <c r="F85" s="50">
        <f>'[4]Clin-PDD'!E62</f>
        <v>100</v>
      </c>
      <c r="G85" s="50">
        <f>'[4]Clin-PDD'!F62</f>
        <v>100</v>
      </c>
      <c r="H85" s="50">
        <f>'[4]Clin-PDD'!G62</f>
        <v>100</v>
      </c>
      <c r="I85" s="50">
        <f>'[4]Clin-PDD'!H62</f>
        <v>100</v>
      </c>
      <c r="J85" s="51">
        <f>'[4]Clin-PDD'!I62</f>
        <v>100</v>
      </c>
    </row>
    <row r="86" spans="1:11" ht="15" customHeight="1" x14ac:dyDescent="0.25">
      <c r="A86" s="203"/>
      <c r="B86" s="152">
        <v>1</v>
      </c>
      <c r="C86" s="58">
        <f>inter($B86/10,C$84,'[4]Clin-PDD'!$A$61:$I$67)</f>
        <v>95.18</v>
      </c>
      <c r="D86" s="59">
        <f>inter($B86/10,D$84,'[4]Clin-PDD'!$A$61:$I$67)</f>
        <v>95.54</v>
      </c>
      <c r="E86" s="59">
        <f>inter($B86/10,E$84,'[4]Clin-PDD'!$A$61:$I$67)</f>
        <v>95.9</v>
      </c>
      <c r="F86" s="59">
        <f>inter($B86/10,F$84,'[4]Clin-PDD'!$A$61:$I$67)</f>
        <v>96.4</v>
      </c>
      <c r="G86" s="59">
        <f>inter($B86/10,G$84,'[4]Clin-PDD'!$A$61:$I$67)</f>
        <v>96.72</v>
      </c>
      <c r="H86" s="59">
        <f>inter($B86/10,H$84,'[4]Clin-PDD'!$A$61:$I$67)</f>
        <v>96.94</v>
      </c>
      <c r="I86" s="59">
        <f>inter($B86/10,I$84,'[4]Clin-PDD'!$A$61:$I$67)</f>
        <v>97.12</v>
      </c>
      <c r="J86" s="60">
        <f>inter($B86/10,J$84,'[4]Clin-PDD'!$A$61:$I$67)</f>
        <v>97.34</v>
      </c>
    </row>
    <row r="87" spans="1:11" ht="15" customHeight="1" x14ac:dyDescent="0.25">
      <c r="A87" s="203"/>
      <c r="B87" s="152">
        <v>2</v>
      </c>
      <c r="C87" s="58">
        <f>inter($B87/10,C$84,'[4]Clin-PDD'!$A$61:$I$67)</f>
        <v>90.36</v>
      </c>
      <c r="D87" s="59">
        <f>inter($B87/10,D$84,'[4]Clin-PDD'!$A$61:$I$67)</f>
        <v>91.08</v>
      </c>
      <c r="E87" s="59">
        <f>inter($B87/10,E$84,'[4]Clin-PDD'!$A$61:$I$67)</f>
        <v>91.8</v>
      </c>
      <c r="F87" s="59">
        <f>inter($B87/10,F$84,'[4]Clin-PDD'!$A$61:$I$67)</f>
        <v>92.8</v>
      </c>
      <c r="G87" s="59">
        <f>inter($B87/10,G$84,'[4]Clin-PDD'!$A$61:$I$67)</f>
        <v>93.44</v>
      </c>
      <c r="H87" s="59">
        <f>inter($B87/10,H$84,'[4]Clin-PDD'!$A$61:$I$67)</f>
        <v>93.88</v>
      </c>
      <c r="I87" s="59">
        <f>inter($B87/10,I$84,'[4]Clin-PDD'!$A$61:$I$67)</f>
        <v>94.24</v>
      </c>
      <c r="J87" s="60">
        <f>inter($B87/10,J$84,'[4]Clin-PDD'!$A$61:$I$67)</f>
        <v>94.68</v>
      </c>
    </row>
    <row r="88" spans="1:11" ht="15" customHeight="1" x14ac:dyDescent="0.25">
      <c r="A88" s="203"/>
      <c r="B88" s="152">
        <v>3</v>
      </c>
      <c r="C88" s="58">
        <f>inter($B88/10,C$84,'[4]Clin-PDD'!$A$61:$I$67)</f>
        <v>85.54</v>
      </c>
      <c r="D88" s="59">
        <f>inter($B88/10,D$84,'[4]Clin-PDD'!$A$61:$I$67)</f>
        <v>86.62</v>
      </c>
      <c r="E88" s="59">
        <f>inter($B88/10,E$84,'[4]Clin-PDD'!$A$61:$I$67)</f>
        <v>87.7</v>
      </c>
      <c r="F88" s="59">
        <f>inter($B88/10,F$84,'[4]Clin-PDD'!$A$61:$I$67)</f>
        <v>89.2</v>
      </c>
      <c r="G88" s="59">
        <f>inter($B88/10,G$84,'[4]Clin-PDD'!$A$61:$I$67)</f>
        <v>90.16</v>
      </c>
      <c r="H88" s="59">
        <f>inter($B88/10,H$84,'[4]Clin-PDD'!$A$61:$I$67)</f>
        <v>90.820000000000007</v>
      </c>
      <c r="I88" s="59">
        <f>inter($B88/10,I$84,'[4]Clin-PDD'!$A$61:$I$67)</f>
        <v>91.36</v>
      </c>
      <c r="J88" s="60">
        <f>inter($B88/10,J$84,'[4]Clin-PDD'!$A$61:$I$67)</f>
        <v>92.02</v>
      </c>
    </row>
    <row r="89" spans="1:11" ht="15" customHeight="1" x14ac:dyDescent="0.25">
      <c r="A89" s="203"/>
      <c r="B89" s="152">
        <v>4</v>
      </c>
      <c r="C89" s="58">
        <f>inter($B89/10,C$84,'[4]Clin-PDD'!$A$61:$I$67)</f>
        <v>80.72</v>
      </c>
      <c r="D89" s="59">
        <f>inter($B89/10,D$84,'[4]Clin-PDD'!$A$61:$I$67)</f>
        <v>82.16</v>
      </c>
      <c r="E89" s="59">
        <f>inter($B89/10,E$84,'[4]Clin-PDD'!$A$61:$I$67)</f>
        <v>83.6</v>
      </c>
      <c r="F89" s="59">
        <f>inter($B89/10,F$84,'[4]Clin-PDD'!$A$61:$I$67)</f>
        <v>85.6</v>
      </c>
      <c r="G89" s="59">
        <f>inter($B89/10,G$84,'[4]Clin-PDD'!$A$61:$I$67)</f>
        <v>86.88</v>
      </c>
      <c r="H89" s="59">
        <f>inter($B89/10,H$84,'[4]Clin-PDD'!$A$61:$I$67)</f>
        <v>87.76</v>
      </c>
      <c r="I89" s="59">
        <f>inter($B89/10,I$84,'[4]Clin-PDD'!$A$61:$I$67)</f>
        <v>88.47999999999999</v>
      </c>
      <c r="J89" s="60">
        <f>inter($B89/10,J$84,'[4]Clin-PDD'!$A$61:$I$67)</f>
        <v>89.36</v>
      </c>
    </row>
    <row r="90" spans="1:11" ht="15" customHeight="1" x14ac:dyDescent="0.25">
      <c r="A90" s="203"/>
      <c r="B90" s="152">
        <v>5</v>
      </c>
      <c r="C90" s="58">
        <f>inter($B90/10,C$84,'[4]Clin-PDD'!$A$61:$I$67)</f>
        <v>75.900000000000006</v>
      </c>
      <c r="D90" s="59">
        <f>inter($B90/10,D$84,'[4]Clin-PDD'!$A$61:$I$67)</f>
        <v>77.7</v>
      </c>
      <c r="E90" s="59">
        <f>inter($B90/10,E$84,'[4]Clin-PDD'!$A$61:$I$67)</f>
        <v>79.5</v>
      </c>
      <c r="F90" s="59">
        <f>inter($B90/10,F$84,'[4]Clin-PDD'!$A$61:$I$67)</f>
        <v>82</v>
      </c>
      <c r="G90" s="59">
        <f>inter($B90/10,G$84,'[4]Clin-PDD'!$A$61:$I$67)</f>
        <v>83.6</v>
      </c>
      <c r="H90" s="59">
        <f>inter($B90/10,H$84,'[4]Clin-PDD'!$A$61:$I$67)</f>
        <v>84.7</v>
      </c>
      <c r="I90" s="59">
        <f>inter($B90/10,I$84,'[4]Clin-PDD'!$A$61:$I$67)</f>
        <v>85.6</v>
      </c>
      <c r="J90" s="60">
        <f>inter($B90/10,J$84,'[4]Clin-PDD'!$A$61:$I$67)</f>
        <v>86.7</v>
      </c>
    </row>
    <row r="91" spans="1:11" ht="15" customHeight="1" x14ac:dyDescent="0.25">
      <c r="A91" s="203"/>
      <c r="B91" s="152">
        <v>6</v>
      </c>
      <c r="C91" s="58">
        <f>inter($B91/10,C$84,'[4]Clin-PDD'!$A$61:$I$67)</f>
        <v>72.36</v>
      </c>
      <c r="D91" s="59">
        <f>inter($B91/10,D$84,'[4]Clin-PDD'!$A$61:$I$67)</f>
        <v>74.37</v>
      </c>
      <c r="E91" s="59">
        <f>inter($B91/10,E$84,'[4]Clin-PDD'!$A$61:$I$67)</f>
        <v>76.38</v>
      </c>
      <c r="F91" s="59">
        <f>inter($B91/10,F$84,'[4]Clin-PDD'!$A$61:$I$67)</f>
        <v>79.22</v>
      </c>
      <c r="G91" s="59">
        <f>inter($B91/10,G$84,'[4]Clin-PDD'!$A$61:$I$67)</f>
        <v>80.97999999999999</v>
      </c>
      <c r="H91" s="59">
        <f>inter($B91/10,H$84,'[4]Clin-PDD'!$A$61:$I$67)</f>
        <v>82.16</v>
      </c>
      <c r="I91" s="59">
        <f>inter($B91/10,I$84,'[4]Clin-PDD'!$A$61:$I$67)</f>
        <v>83.11999999999999</v>
      </c>
      <c r="J91" s="60">
        <f>inter($B91/10,J$84,'[4]Clin-PDD'!$A$61:$I$67)</f>
        <v>84.34</v>
      </c>
    </row>
    <row r="92" spans="1:11" ht="15" customHeight="1" x14ac:dyDescent="0.25">
      <c r="A92" s="203"/>
      <c r="B92" s="152">
        <v>7</v>
      </c>
      <c r="C92" s="58">
        <f>inter($B92/10,C$84,'[4]Clin-PDD'!$A$61:$I$67)</f>
        <v>68.820000000000007</v>
      </c>
      <c r="D92" s="59">
        <f>inter($B92/10,D$84,'[4]Clin-PDD'!$A$61:$I$67)</f>
        <v>71.040000000000006</v>
      </c>
      <c r="E92" s="59">
        <f>inter($B92/10,E$84,'[4]Clin-PDD'!$A$61:$I$67)</f>
        <v>73.260000000000005</v>
      </c>
      <c r="F92" s="59">
        <f>inter($B92/10,F$84,'[4]Clin-PDD'!$A$61:$I$67)</f>
        <v>76.44</v>
      </c>
      <c r="G92" s="59">
        <f>inter($B92/10,G$84,'[4]Clin-PDD'!$A$61:$I$67)</f>
        <v>78.36</v>
      </c>
      <c r="H92" s="59">
        <f>inter($B92/10,H$84,'[4]Clin-PDD'!$A$61:$I$67)</f>
        <v>79.62</v>
      </c>
      <c r="I92" s="59">
        <f>inter($B92/10,I$84,'[4]Clin-PDD'!$A$61:$I$67)</f>
        <v>80.64</v>
      </c>
      <c r="J92" s="60">
        <f>inter($B92/10,J$84,'[4]Clin-PDD'!$A$61:$I$67)</f>
        <v>81.98</v>
      </c>
    </row>
    <row r="93" spans="1:11" ht="15" customHeight="1" x14ac:dyDescent="0.25">
      <c r="A93" s="203"/>
      <c r="B93" s="152">
        <v>8</v>
      </c>
      <c r="C93" s="58">
        <f>inter($B93/10,C$84,'[4]Clin-PDD'!$A$61:$I$67)</f>
        <v>65.28</v>
      </c>
      <c r="D93" s="59">
        <f>inter($B93/10,D$84,'[4]Clin-PDD'!$A$61:$I$67)</f>
        <v>67.709999999999994</v>
      </c>
      <c r="E93" s="59">
        <f>inter($B93/10,E$84,'[4]Clin-PDD'!$A$61:$I$67)</f>
        <v>70.14</v>
      </c>
      <c r="F93" s="59">
        <f>inter($B93/10,F$84,'[4]Clin-PDD'!$A$61:$I$67)</f>
        <v>73.66</v>
      </c>
      <c r="G93" s="59">
        <f>inter($B93/10,G$84,'[4]Clin-PDD'!$A$61:$I$67)</f>
        <v>75.739999999999995</v>
      </c>
      <c r="H93" s="59">
        <f>inter($B93/10,H$84,'[4]Clin-PDD'!$A$61:$I$67)</f>
        <v>77.08</v>
      </c>
      <c r="I93" s="59">
        <f>inter($B93/10,I$84,'[4]Clin-PDD'!$A$61:$I$67)</f>
        <v>78.16</v>
      </c>
      <c r="J93" s="60">
        <f>inter($B93/10,J$84,'[4]Clin-PDD'!$A$61:$I$67)</f>
        <v>79.62</v>
      </c>
    </row>
    <row r="94" spans="1:11" ht="15" customHeight="1" x14ac:dyDescent="0.25">
      <c r="A94" s="203"/>
      <c r="B94" s="152">
        <v>9</v>
      </c>
      <c r="C94" s="58">
        <f>inter($B94/10,C$84,'[4]Clin-PDD'!$A$61:$I$67)</f>
        <v>61.74</v>
      </c>
      <c r="D94" s="59">
        <f>inter($B94/10,D$84,'[4]Clin-PDD'!$A$61:$I$67)</f>
        <v>64.38</v>
      </c>
      <c r="E94" s="59">
        <f>inter($B94/10,E$84,'[4]Clin-PDD'!$A$61:$I$67)</f>
        <v>67.02</v>
      </c>
      <c r="F94" s="59">
        <f>inter($B94/10,F$84,'[4]Clin-PDD'!$A$61:$I$67)</f>
        <v>70.88</v>
      </c>
      <c r="G94" s="59">
        <f>inter($B94/10,G$84,'[4]Clin-PDD'!$A$61:$I$67)</f>
        <v>73.12</v>
      </c>
      <c r="H94" s="59">
        <f>inter($B94/10,H$84,'[4]Clin-PDD'!$A$61:$I$67)</f>
        <v>74.539999999999992</v>
      </c>
      <c r="I94" s="59">
        <f>inter($B94/10,I$84,'[4]Clin-PDD'!$A$61:$I$67)</f>
        <v>75.680000000000007</v>
      </c>
      <c r="J94" s="60">
        <f>inter($B94/10,J$84,'[4]Clin-PDD'!$A$61:$I$67)</f>
        <v>77.260000000000005</v>
      </c>
    </row>
    <row r="95" spans="1:11" ht="15" customHeight="1" x14ac:dyDescent="0.25">
      <c r="A95" s="203"/>
      <c r="B95" s="152">
        <v>10</v>
      </c>
      <c r="C95" s="58">
        <f>inter($B95/10,C$84,'[4]Clin-PDD'!$A$61:$I$67)</f>
        <v>58.2</v>
      </c>
      <c r="D95" s="59">
        <f>inter($B95/10,D$84,'[4]Clin-PDD'!$A$61:$I$67)</f>
        <v>61.05</v>
      </c>
      <c r="E95" s="59">
        <f>inter($B95/10,E$84,'[4]Clin-PDD'!$A$61:$I$67)</f>
        <v>63.9</v>
      </c>
      <c r="F95" s="59">
        <f>inter($B95/10,F$84,'[4]Clin-PDD'!$A$61:$I$67)</f>
        <v>68.099999999999994</v>
      </c>
      <c r="G95" s="59">
        <f>inter($B95/10,G$84,'[4]Clin-PDD'!$A$61:$I$67)</f>
        <v>70.5</v>
      </c>
      <c r="H95" s="59">
        <f>inter($B95/10,H$84,'[4]Clin-PDD'!$A$61:$I$67)</f>
        <v>72</v>
      </c>
      <c r="I95" s="59">
        <f>inter($B95/10,I$84,'[4]Clin-PDD'!$A$61:$I$67)</f>
        <v>73.2</v>
      </c>
      <c r="J95" s="60">
        <f>inter($B95/10,J$84,'[4]Clin-PDD'!$A$61:$I$67)</f>
        <v>74.900000000000006</v>
      </c>
    </row>
    <row r="96" spans="1:11" x14ac:dyDescent="0.25">
      <c r="A96" s="203"/>
      <c r="B96" s="149">
        <v>15</v>
      </c>
      <c r="C96" s="58">
        <f>inter($B96/10,C$84,'[4]Clin-PDD'!$A$61:$I$67)</f>
        <v>47.6</v>
      </c>
      <c r="D96" s="59">
        <f>inter($B96/10,D$84,'[4]Clin-PDD'!$A$61:$I$67)</f>
        <v>50.3</v>
      </c>
      <c r="E96" s="59">
        <f>inter($B96/10,E$84,'[4]Clin-PDD'!$A$61:$I$67)</f>
        <v>53</v>
      </c>
      <c r="F96" s="59">
        <f>inter($B96/10,F$84,'[4]Clin-PDD'!$A$61:$I$67)</f>
        <v>57.099999999999994</v>
      </c>
      <c r="G96" s="59">
        <f>inter($B96/10,G$84,'[4]Clin-PDD'!$A$61:$I$67)</f>
        <v>59.7</v>
      </c>
      <c r="H96" s="59">
        <f>inter($B96/10,H$84,'[4]Clin-PDD'!$A$61:$I$67)</f>
        <v>61.45</v>
      </c>
      <c r="I96" s="59">
        <f>inter($B96/10,I$84,'[4]Clin-PDD'!$A$61:$I$67)</f>
        <v>62.8</v>
      </c>
      <c r="J96" s="60">
        <f>inter($B96/10,J$84,'[4]Clin-PDD'!$A$61:$I$67)</f>
        <v>64.650000000000006</v>
      </c>
    </row>
    <row r="97" spans="1:11" x14ac:dyDescent="0.25">
      <c r="A97" s="203"/>
      <c r="B97" s="149">
        <v>20</v>
      </c>
      <c r="C97" s="58">
        <f>inter($B97/10,C$84,'[4]Clin-PDD'!$A$61:$I$67)</f>
        <v>37</v>
      </c>
      <c r="D97" s="59">
        <f>inter($B97/10,D$84,'[4]Clin-PDD'!$A$61:$I$67)</f>
        <v>39.549999999999997</v>
      </c>
      <c r="E97" s="59">
        <f>inter($B97/10,E$84,'[4]Clin-PDD'!$A$61:$I$67)</f>
        <v>42.1</v>
      </c>
      <c r="F97" s="59">
        <f>inter($B97/10,F$84,'[4]Clin-PDD'!$A$61:$I$67)</f>
        <v>46.1</v>
      </c>
      <c r="G97" s="59">
        <f>inter($B97/10,G$84,'[4]Clin-PDD'!$A$61:$I$67)</f>
        <v>48.9</v>
      </c>
      <c r="H97" s="59">
        <f>inter($B97/10,H$84,'[4]Clin-PDD'!$A$61:$I$67)</f>
        <v>50.9</v>
      </c>
      <c r="I97" s="59">
        <f>inter($B97/10,I$84,'[4]Clin-PDD'!$A$61:$I$67)</f>
        <v>52.4</v>
      </c>
      <c r="J97" s="60">
        <f>inter($B97/10,J$84,'[4]Clin-PDD'!$A$61:$I$67)</f>
        <v>54.4</v>
      </c>
    </row>
    <row r="98" spans="1:11" x14ac:dyDescent="0.25">
      <c r="A98" s="203"/>
      <c r="B98" s="150">
        <v>30</v>
      </c>
      <c r="C98" s="61">
        <f>inter($B98/10,C$84,'[4]Clin-PDD'!$A$61:$I$67)</f>
        <v>24.1</v>
      </c>
      <c r="D98" s="62">
        <f>inter($B98/10,D$84,'[4]Clin-PDD'!$A$61:$I$67)</f>
        <v>26.05</v>
      </c>
      <c r="E98" s="62">
        <f>inter($B98/10,E$84,'[4]Clin-PDD'!$A$61:$I$67)</f>
        <v>28</v>
      </c>
      <c r="F98" s="62">
        <f>inter($B98/10,F$84,'[4]Clin-PDD'!$A$61:$I$67)</f>
        <v>31.5</v>
      </c>
      <c r="G98" s="62">
        <f>inter($B98/10,G$84,'[4]Clin-PDD'!$A$61:$I$67)</f>
        <v>33.799999999999997</v>
      </c>
      <c r="H98" s="62">
        <f>inter($B98/10,H$84,'[4]Clin-PDD'!$A$61:$I$67)</f>
        <v>35.700000000000003</v>
      </c>
      <c r="I98" s="62">
        <f>inter($B98/10,I$84,'[4]Clin-PDD'!$A$61:$I$67)</f>
        <v>37.1</v>
      </c>
      <c r="J98" s="63">
        <f>inter($B98/10,J$84,'[4]Clin-PDD'!$A$61:$I$67)</f>
        <v>39.299999999999997</v>
      </c>
    </row>
    <row r="99" spans="1:11" x14ac:dyDescent="0.25">
      <c r="A99" s="1"/>
      <c r="B99" s="23"/>
      <c r="C99" s="23"/>
      <c r="D99" s="23"/>
      <c r="E99" s="23"/>
      <c r="F99" s="23"/>
      <c r="G99" s="23"/>
      <c r="H99" s="23"/>
      <c r="I99" s="23"/>
      <c r="J99" s="23"/>
    </row>
    <row r="100" spans="1:11" ht="18" customHeight="1" x14ac:dyDescent="0.25">
      <c r="C100" s="1"/>
      <c r="D100" s="1"/>
      <c r="E100" s="1"/>
      <c r="F100" s="1"/>
    </row>
    <row r="101" spans="1:11" ht="18" x14ac:dyDescent="0.25">
      <c r="A101" s="202" t="s">
        <v>39</v>
      </c>
      <c r="B101" s="202"/>
      <c r="C101" s="81" t="s">
        <v>27</v>
      </c>
      <c r="D101" s="81"/>
      <c r="E101" s="81"/>
      <c r="F101" s="81"/>
      <c r="G101" s="81"/>
      <c r="H101" s="81"/>
      <c r="I101" s="81"/>
      <c r="J101" s="81"/>
      <c r="K101" s="81"/>
    </row>
    <row r="102" spans="1:11" x14ac:dyDescent="0.25">
      <c r="A102" s="1"/>
      <c r="B102" s="23"/>
      <c r="C102" s="46">
        <v>1</v>
      </c>
      <c r="D102" s="80">
        <v>1.5</v>
      </c>
      <c r="E102" s="47">
        <f>'[4]Clin-PDD'!D$46</f>
        <v>2</v>
      </c>
      <c r="F102" s="47">
        <f>'[4]Clin-PDD'!E$46</f>
        <v>3</v>
      </c>
      <c r="G102" s="47">
        <f>'[4]Clin-PDD'!F$46</f>
        <v>4</v>
      </c>
      <c r="H102" s="47">
        <f>'[4]Clin-PDD'!G$46</f>
        <v>5</v>
      </c>
      <c r="I102" s="47">
        <f>'[4]Clin-PDD'!H$46</f>
        <v>6</v>
      </c>
      <c r="J102" s="47">
        <f>'[4]Clin-PDD'!I$46</f>
        <v>10</v>
      </c>
      <c r="K102" s="48">
        <f>'[4]Clin-PDD'!J$46</f>
        <v>15</v>
      </c>
    </row>
    <row r="103" spans="1:11" x14ac:dyDescent="0.25">
      <c r="A103" s="203" t="s">
        <v>32</v>
      </c>
      <c r="B103" s="151">
        <v>0</v>
      </c>
      <c r="C103" s="49">
        <f>'[4]Clin-PDD'!B74</f>
        <v>100</v>
      </c>
      <c r="D103" s="50">
        <f>'[4]Clin-PDD'!C74</f>
        <v>100</v>
      </c>
      <c r="E103" s="50">
        <f>'[4]Clin-PDD'!D74</f>
        <v>100</v>
      </c>
      <c r="F103" s="50">
        <f>'[4]Clin-PDD'!E74</f>
        <v>100</v>
      </c>
      <c r="G103" s="50">
        <f>'[4]Clin-PDD'!F74</f>
        <v>100</v>
      </c>
      <c r="H103" s="50">
        <f>'[4]Clin-PDD'!G74</f>
        <v>100</v>
      </c>
      <c r="I103" s="50">
        <f>'[4]Clin-PDD'!H74</f>
        <v>100</v>
      </c>
      <c r="J103" s="50">
        <f>'[4]Clin-PDD'!I74</f>
        <v>100</v>
      </c>
      <c r="K103" s="51">
        <f>'[4]Clin-PDD'!J74</f>
        <v>100</v>
      </c>
    </row>
    <row r="104" spans="1:11" x14ac:dyDescent="0.25">
      <c r="A104" s="203"/>
      <c r="B104" s="152">
        <v>1</v>
      </c>
      <c r="C104" s="58">
        <f>inter($B104/10,C$102,'[4]Clin-PDD'!$A$73:$J$79)</f>
        <v>95.54</v>
      </c>
      <c r="D104" s="59">
        <f>inter($B104/10,D$102,'[4]Clin-PDD'!$A$73:$J$79)</f>
        <v>95.9</v>
      </c>
      <c r="E104" s="59">
        <f>inter($B104/10,E$102,'[4]Clin-PDD'!$A$73:$J$79)</f>
        <v>96.26</v>
      </c>
      <c r="F104" s="59">
        <f>inter($B104/10,F$102,'[4]Clin-PDD'!$A$73:$J$79)</f>
        <v>96.76</v>
      </c>
      <c r="G104" s="59">
        <f>inter($B104/10,G$102,'[4]Clin-PDD'!$A$73:$J$79)</f>
        <v>97.08</v>
      </c>
      <c r="H104" s="59">
        <f>inter($B104/10,H$102,'[4]Clin-PDD'!$A$73:$J$79)</f>
        <v>97.3</v>
      </c>
      <c r="I104" s="59">
        <f>inter($B104/10,I$102,'[4]Clin-PDD'!$A$73:$J$79)</f>
        <v>97.46</v>
      </c>
      <c r="J104" s="59">
        <f>inter($B104/10,J$102,'[4]Clin-PDD'!$A$73:$J$79)</f>
        <v>97.8</v>
      </c>
      <c r="K104" s="60">
        <f>inter($B104/10,K$102,'[4]Clin-PDD'!$A$73:$J$79)</f>
        <v>98.06</v>
      </c>
    </row>
    <row r="105" spans="1:11" x14ac:dyDescent="0.25">
      <c r="A105" s="203"/>
      <c r="B105" s="152">
        <v>2</v>
      </c>
      <c r="C105" s="58">
        <f>inter($B105/10,C$102,'[4]Clin-PDD'!$A$73:$J$79)</f>
        <v>91.08</v>
      </c>
      <c r="D105" s="59">
        <f>inter($B105/10,D$102,'[4]Clin-PDD'!$A$73:$J$79)</f>
        <v>91.8</v>
      </c>
      <c r="E105" s="59">
        <f>inter($B105/10,E$102,'[4]Clin-PDD'!$A$73:$J$79)</f>
        <v>92.52</v>
      </c>
      <c r="F105" s="59">
        <f>inter($B105/10,F$102,'[4]Clin-PDD'!$A$73:$J$79)</f>
        <v>93.52</v>
      </c>
      <c r="G105" s="59">
        <f>inter($B105/10,G$102,'[4]Clin-PDD'!$A$73:$J$79)</f>
        <v>94.16</v>
      </c>
      <c r="H105" s="59">
        <f>inter($B105/10,H$102,'[4]Clin-PDD'!$A$73:$J$79)</f>
        <v>94.6</v>
      </c>
      <c r="I105" s="59">
        <f>inter($B105/10,I$102,'[4]Clin-PDD'!$A$73:$J$79)</f>
        <v>94.92</v>
      </c>
      <c r="J105" s="59">
        <f>inter($B105/10,J$102,'[4]Clin-PDD'!$A$73:$J$79)</f>
        <v>95.6</v>
      </c>
      <c r="K105" s="60">
        <f>inter($B105/10,K$102,'[4]Clin-PDD'!$A$73:$J$79)</f>
        <v>96.12</v>
      </c>
    </row>
    <row r="106" spans="1:11" x14ac:dyDescent="0.25">
      <c r="A106" s="203"/>
      <c r="B106" s="152">
        <v>3</v>
      </c>
      <c r="C106" s="58">
        <f>inter($B106/10,C$102,'[4]Clin-PDD'!$A$73:$J$79)</f>
        <v>86.62</v>
      </c>
      <c r="D106" s="59">
        <f>inter($B106/10,D$102,'[4]Clin-PDD'!$A$73:$J$79)</f>
        <v>87.7</v>
      </c>
      <c r="E106" s="59">
        <f>inter($B106/10,E$102,'[4]Clin-PDD'!$A$73:$J$79)</f>
        <v>88.78</v>
      </c>
      <c r="F106" s="59">
        <f>inter($B106/10,F$102,'[4]Clin-PDD'!$A$73:$J$79)</f>
        <v>90.28</v>
      </c>
      <c r="G106" s="59">
        <f>inter($B106/10,G$102,'[4]Clin-PDD'!$A$73:$J$79)</f>
        <v>91.240000000000009</v>
      </c>
      <c r="H106" s="59">
        <f>inter($B106/10,H$102,'[4]Clin-PDD'!$A$73:$J$79)</f>
        <v>91.9</v>
      </c>
      <c r="I106" s="59">
        <f>inter($B106/10,I$102,'[4]Clin-PDD'!$A$73:$J$79)</f>
        <v>92.38</v>
      </c>
      <c r="J106" s="59">
        <f>inter($B106/10,J$102,'[4]Clin-PDD'!$A$73:$J$79)</f>
        <v>93.4</v>
      </c>
      <c r="K106" s="60">
        <f>inter($B106/10,K$102,'[4]Clin-PDD'!$A$73:$J$79)</f>
        <v>94.179999999999993</v>
      </c>
    </row>
    <row r="107" spans="1:11" x14ac:dyDescent="0.25">
      <c r="A107" s="203"/>
      <c r="B107" s="152">
        <v>4</v>
      </c>
      <c r="C107" s="58">
        <f>inter($B107/10,C$102,'[4]Clin-PDD'!$A$73:$J$79)</f>
        <v>82.16</v>
      </c>
      <c r="D107" s="59">
        <f>inter($B107/10,D$102,'[4]Clin-PDD'!$A$73:$J$79)</f>
        <v>83.6</v>
      </c>
      <c r="E107" s="59">
        <f>inter($B107/10,E$102,'[4]Clin-PDD'!$A$73:$J$79)</f>
        <v>85.039999999999992</v>
      </c>
      <c r="F107" s="59">
        <f>inter($B107/10,F$102,'[4]Clin-PDD'!$A$73:$J$79)</f>
        <v>87.039999999999992</v>
      </c>
      <c r="G107" s="59">
        <f>inter($B107/10,G$102,'[4]Clin-PDD'!$A$73:$J$79)</f>
        <v>88.320000000000007</v>
      </c>
      <c r="H107" s="59">
        <f>inter($B107/10,H$102,'[4]Clin-PDD'!$A$73:$J$79)</f>
        <v>89.2</v>
      </c>
      <c r="I107" s="59">
        <f>inter($B107/10,I$102,'[4]Clin-PDD'!$A$73:$J$79)</f>
        <v>89.84</v>
      </c>
      <c r="J107" s="59">
        <f>inter($B107/10,J$102,'[4]Clin-PDD'!$A$73:$J$79)</f>
        <v>91.2</v>
      </c>
      <c r="K107" s="60">
        <f>inter($B107/10,K$102,'[4]Clin-PDD'!$A$73:$J$79)</f>
        <v>92.24</v>
      </c>
    </row>
    <row r="108" spans="1:11" x14ac:dyDescent="0.25">
      <c r="A108" s="203"/>
      <c r="B108" s="152">
        <v>5</v>
      </c>
      <c r="C108" s="58">
        <f>inter($B108/10,C$102,'[4]Clin-PDD'!$A$73:$J$79)</f>
        <v>77.7</v>
      </c>
      <c r="D108" s="59">
        <f>inter($B108/10,D$102,'[4]Clin-PDD'!$A$73:$J$79)</f>
        <v>79.5</v>
      </c>
      <c r="E108" s="59">
        <f>inter($B108/10,E$102,'[4]Clin-PDD'!$A$73:$J$79)</f>
        <v>81.3</v>
      </c>
      <c r="F108" s="59">
        <f>inter($B108/10,F$102,'[4]Clin-PDD'!$A$73:$J$79)</f>
        <v>83.8</v>
      </c>
      <c r="G108" s="59">
        <f>inter($B108/10,G$102,'[4]Clin-PDD'!$A$73:$J$79)</f>
        <v>85.4</v>
      </c>
      <c r="H108" s="59">
        <f>inter($B108/10,H$102,'[4]Clin-PDD'!$A$73:$J$79)</f>
        <v>86.5</v>
      </c>
      <c r="I108" s="59">
        <f>inter($B108/10,I$102,'[4]Clin-PDD'!$A$73:$J$79)</f>
        <v>87.3</v>
      </c>
      <c r="J108" s="59">
        <f>inter($B108/10,J$102,'[4]Clin-PDD'!$A$73:$J$79)</f>
        <v>89</v>
      </c>
      <c r="K108" s="60">
        <f>inter($B108/10,K$102,'[4]Clin-PDD'!$A$73:$J$79)</f>
        <v>90.3</v>
      </c>
    </row>
    <row r="109" spans="1:11" x14ac:dyDescent="0.25">
      <c r="A109" s="203"/>
      <c r="B109" s="152">
        <v>6</v>
      </c>
      <c r="C109" s="58">
        <f>inter($B109/10,C$102,'[4]Clin-PDD'!$A$73:$J$79)</f>
        <v>74.460000000000008</v>
      </c>
      <c r="D109" s="59">
        <f>inter($B109/10,D$102,'[4]Clin-PDD'!$A$73:$J$79)</f>
        <v>76.44</v>
      </c>
      <c r="E109" s="59">
        <f>inter($B109/10,E$102,'[4]Clin-PDD'!$A$73:$J$79)</f>
        <v>78.42</v>
      </c>
      <c r="F109" s="59">
        <f>inter($B109/10,F$102,'[4]Clin-PDD'!$A$73:$J$79)</f>
        <v>81.179999999999993</v>
      </c>
      <c r="G109" s="59">
        <f>inter($B109/10,G$102,'[4]Clin-PDD'!$A$73:$J$79)</f>
        <v>82.94</v>
      </c>
      <c r="H109" s="59">
        <f>inter($B109/10,H$102,'[4]Clin-PDD'!$A$73:$J$79)</f>
        <v>84.16</v>
      </c>
      <c r="I109" s="59">
        <f>inter($B109/10,I$102,'[4]Clin-PDD'!$A$73:$J$79)</f>
        <v>85.039999999999992</v>
      </c>
      <c r="J109" s="59">
        <f>inter($B109/10,J$102,'[4]Clin-PDD'!$A$73:$J$79)</f>
        <v>87</v>
      </c>
      <c r="K109" s="60">
        <f>inter($B109/10,K$102,'[4]Clin-PDD'!$A$73:$J$79)</f>
        <v>88.36</v>
      </c>
    </row>
    <row r="110" spans="1:11" x14ac:dyDescent="0.25">
      <c r="A110" s="203"/>
      <c r="B110" s="152">
        <v>7</v>
      </c>
      <c r="C110" s="58">
        <f>inter($B110/10,C$102,'[4]Clin-PDD'!$A$73:$J$79)</f>
        <v>71.22</v>
      </c>
      <c r="D110" s="59">
        <f>inter($B110/10,D$102,'[4]Clin-PDD'!$A$73:$J$79)</f>
        <v>73.38</v>
      </c>
      <c r="E110" s="59">
        <f>inter($B110/10,E$102,'[4]Clin-PDD'!$A$73:$J$79)</f>
        <v>75.540000000000006</v>
      </c>
      <c r="F110" s="59">
        <f>inter($B110/10,F$102,'[4]Clin-PDD'!$A$73:$J$79)</f>
        <v>78.56</v>
      </c>
      <c r="G110" s="59">
        <f>inter($B110/10,G$102,'[4]Clin-PDD'!$A$73:$J$79)</f>
        <v>80.48</v>
      </c>
      <c r="H110" s="59">
        <f>inter($B110/10,H$102,'[4]Clin-PDD'!$A$73:$J$79)</f>
        <v>81.819999999999993</v>
      </c>
      <c r="I110" s="59">
        <f>inter($B110/10,I$102,'[4]Clin-PDD'!$A$73:$J$79)</f>
        <v>82.78</v>
      </c>
      <c r="J110" s="59">
        <f>inter($B110/10,J$102,'[4]Clin-PDD'!$A$73:$J$79)</f>
        <v>85</v>
      </c>
      <c r="K110" s="60">
        <f>inter($B110/10,K$102,'[4]Clin-PDD'!$A$73:$J$79)</f>
        <v>86.42</v>
      </c>
    </row>
    <row r="111" spans="1:11" x14ac:dyDescent="0.25">
      <c r="A111" s="203"/>
      <c r="B111" s="152">
        <v>8</v>
      </c>
      <c r="C111" s="58">
        <f>inter($B111/10,C$102,'[4]Clin-PDD'!$A$73:$J$79)</f>
        <v>67.98</v>
      </c>
      <c r="D111" s="59">
        <f>inter($B111/10,D$102,'[4]Clin-PDD'!$A$73:$J$79)</f>
        <v>70.319999999999993</v>
      </c>
      <c r="E111" s="59">
        <f>inter($B111/10,E$102,'[4]Clin-PDD'!$A$73:$J$79)</f>
        <v>72.66</v>
      </c>
      <c r="F111" s="59">
        <f>inter($B111/10,F$102,'[4]Clin-PDD'!$A$73:$J$79)</f>
        <v>75.94</v>
      </c>
      <c r="G111" s="59">
        <f>inter($B111/10,G$102,'[4]Clin-PDD'!$A$73:$J$79)</f>
        <v>78.02</v>
      </c>
      <c r="H111" s="59">
        <f>inter($B111/10,H$102,'[4]Clin-PDD'!$A$73:$J$79)</f>
        <v>79.47999999999999</v>
      </c>
      <c r="I111" s="59">
        <f>inter($B111/10,I$102,'[4]Clin-PDD'!$A$73:$J$79)</f>
        <v>80.52</v>
      </c>
      <c r="J111" s="59">
        <f>inter($B111/10,J$102,'[4]Clin-PDD'!$A$73:$J$79)</f>
        <v>83</v>
      </c>
      <c r="K111" s="60">
        <f>inter($B111/10,K$102,'[4]Clin-PDD'!$A$73:$J$79)</f>
        <v>84.47999999999999</v>
      </c>
    </row>
    <row r="112" spans="1:11" x14ac:dyDescent="0.25">
      <c r="A112" s="203"/>
      <c r="B112" s="152">
        <v>9</v>
      </c>
      <c r="C112" s="58">
        <f>inter($B112/10,C$102,'[4]Clin-PDD'!$A$73:$J$79)</f>
        <v>64.739999999999995</v>
      </c>
      <c r="D112" s="59">
        <f>inter($B112/10,D$102,'[4]Clin-PDD'!$A$73:$J$79)</f>
        <v>67.260000000000005</v>
      </c>
      <c r="E112" s="59">
        <f>inter($B112/10,E$102,'[4]Clin-PDD'!$A$73:$J$79)</f>
        <v>69.78</v>
      </c>
      <c r="F112" s="59">
        <f>inter($B112/10,F$102,'[4]Clin-PDD'!$A$73:$J$79)</f>
        <v>73.319999999999993</v>
      </c>
      <c r="G112" s="59">
        <f>inter($B112/10,G$102,'[4]Clin-PDD'!$A$73:$J$79)</f>
        <v>75.56</v>
      </c>
      <c r="H112" s="59">
        <f>inter($B112/10,H$102,'[4]Clin-PDD'!$A$73:$J$79)</f>
        <v>77.14</v>
      </c>
      <c r="I112" s="59">
        <f>inter($B112/10,I$102,'[4]Clin-PDD'!$A$73:$J$79)</f>
        <v>78.260000000000005</v>
      </c>
      <c r="J112" s="59">
        <f>inter($B112/10,J$102,'[4]Clin-PDD'!$A$73:$J$79)</f>
        <v>81</v>
      </c>
      <c r="K112" s="60">
        <f>inter($B112/10,K$102,'[4]Clin-PDD'!$A$73:$J$79)</f>
        <v>82.539999999999992</v>
      </c>
    </row>
    <row r="113" spans="1:11" x14ac:dyDescent="0.25">
      <c r="A113" s="203"/>
      <c r="B113" s="152">
        <v>10</v>
      </c>
      <c r="C113" s="58">
        <f>inter($B113/10,C$102,'[4]Clin-PDD'!$A$73:$J$79)</f>
        <v>61.5</v>
      </c>
      <c r="D113" s="59">
        <f>inter($B113/10,D$102,'[4]Clin-PDD'!$A$73:$J$79)</f>
        <v>64.2</v>
      </c>
      <c r="E113" s="59">
        <f>inter($B113/10,E$102,'[4]Clin-PDD'!$A$73:$J$79)</f>
        <v>66.900000000000006</v>
      </c>
      <c r="F113" s="59">
        <f>inter($B113/10,F$102,'[4]Clin-PDD'!$A$73:$J$79)</f>
        <v>70.7</v>
      </c>
      <c r="G113" s="59">
        <f>inter($B113/10,G$102,'[4]Clin-PDD'!$A$73:$J$79)</f>
        <v>73.099999999999994</v>
      </c>
      <c r="H113" s="59">
        <f>inter($B113/10,H$102,'[4]Clin-PDD'!$A$73:$J$79)</f>
        <v>74.8</v>
      </c>
      <c r="I113" s="59">
        <f>inter($B113/10,I$102,'[4]Clin-PDD'!$A$73:$J$79)</f>
        <v>76</v>
      </c>
      <c r="J113" s="59">
        <f>inter($B113/10,J$102,'[4]Clin-PDD'!$A$73:$J$79)</f>
        <v>79</v>
      </c>
      <c r="K113" s="60">
        <f>inter($B113/10,K$102,'[4]Clin-PDD'!$A$73:$J$79)</f>
        <v>80.599999999999994</v>
      </c>
    </row>
    <row r="114" spans="1:11" x14ac:dyDescent="0.25">
      <c r="A114" s="203"/>
      <c r="B114" s="149">
        <v>15</v>
      </c>
      <c r="C114" s="58">
        <f>inter($B114/10,C$102,'[4]Clin-PDD'!$A$73:$J$79)</f>
        <v>51</v>
      </c>
      <c r="D114" s="59">
        <f>inter($B114/10,D$102,'[4]Clin-PDD'!$A$73:$J$79)</f>
        <v>53.7</v>
      </c>
      <c r="E114" s="59">
        <f>inter($B114/10,E$102,'[4]Clin-PDD'!$A$73:$J$79)</f>
        <v>56.400000000000006</v>
      </c>
      <c r="F114" s="59">
        <f>inter($B114/10,F$102,'[4]Clin-PDD'!$A$73:$J$79)</f>
        <v>60.5</v>
      </c>
      <c r="G114" s="59">
        <f>inter($B114/10,G$102,'[4]Clin-PDD'!$A$73:$J$79)</f>
        <v>63.15</v>
      </c>
      <c r="H114" s="59">
        <f>inter($B114/10,H$102,'[4]Clin-PDD'!$A$73:$J$79)</f>
        <v>65</v>
      </c>
      <c r="I114" s="59">
        <f>inter($B114/10,I$102,'[4]Clin-PDD'!$A$73:$J$79)</f>
        <v>66.349999999999994</v>
      </c>
      <c r="J114" s="59">
        <f>inter($B114/10,J$102,'[4]Clin-PDD'!$A$73:$J$79)</f>
        <v>69.5</v>
      </c>
      <c r="K114" s="60">
        <f>inter($B114/10,K$102,'[4]Clin-PDD'!$A$73:$J$79)</f>
        <v>71.25</v>
      </c>
    </row>
    <row r="115" spans="1:11" x14ac:dyDescent="0.25">
      <c r="A115" s="203"/>
      <c r="B115" s="149">
        <v>20</v>
      </c>
      <c r="C115" s="58">
        <f>inter($B115/10,C$102,'[4]Clin-PDD'!$A$73:$J$79)</f>
        <v>40.5</v>
      </c>
      <c r="D115" s="59">
        <f>inter($B115/10,D$102,'[4]Clin-PDD'!$A$73:$J$79)</f>
        <v>43.2</v>
      </c>
      <c r="E115" s="59">
        <f>inter($B115/10,E$102,'[4]Clin-PDD'!$A$73:$J$79)</f>
        <v>45.9</v>
      </c>
      <c r="F115" s="59">
        <f>inter($B115/10,F$102,'[4]Clin-PDD'!$A$73:$J$79)</f>
        <v>50.3</v>
      </c>
      <c r="G115" s="59">
        <f>inter($B115/10,G$102,'[4]Clin-PDD'!$A$73:$J$79)</f>
        <v>53.2</v>
      </c>
      <c r="H115" s="59">
        <f>inter($B115/10,H$102,'[4]Clin-PDD'!$A$73:$J$79)</f>
        <v>55.2</v>
      </c>
      <c r="I115" s="59">
        <f>inter($B115/10,I$102,'[4]Clin-PDD'!$A$73:$J$79)</f>
        <v>56.7</v>
      </c>
      <c r="J115" s="59">
        <f>inter($B115/10,J$102,'[4]Clin-PDD'!$A$73:$J$79)</f>
        <v>60</v>
      </c>
      <c r="K115" s="60">
        <f>inter($B115/10,K$102,'[4]Clin-PDD'!$A$73:$J$79)</f>
        <v>61.9</v>
      </c>
    </row>
    <row r="116" spans="1:11" x14ac:dyDescent="0.25">
      <c r="A116" s="203"/>
      <c r="B116" s="153">
        <v>30</v>
      </c>
      <c r="C116" s="61">
        <f>inter($B116/10,C$102,'[4]Clin-PDD'!$A$73:$J$79)</f>
        <v>27.9</v>
      </c>
      <c r="D116" s="62">
        <f>inter($B116/10,D$102,'[4]Clin-PDD'!$A$73:$J$79)</f>
        <v>29.9</v>
      </c>
      <c r="E116" s="62">
        <f>inter($B116/10,E$102,'[4]Clin-PDD'!$A$73:$J$79)</f>
        <v>31.9</v>
      </c>
      <c r="F116" s="62">
        <f>inter($B116/10,F$102,'[4]Clin-PDD'!$A$73:$J$79)</f>
        <v>35.299999999999997</v>
      </c>
      <c r="G116" s="62">
        <f>inter($B116/10,G$102,'[4]Clin-PDD'!$A$73:$J$79)</f>
        <v>38</v>
      </c>
      <c r="H116" s="62">
        <f>inter($B116/10,H$102,'[4]Clin-PDD'!$A$73:$J$79)</f>
        <v>40</v>
      </c>
      <c r="I116" s="62">
        <f>inter($B116/10,I$102,'[4]Clin-PDD'!$A$73:$J$79)</f>
        <v>41.5</v>
      </c>
      <c r="J116" s="62">
        <f>inter($B116/10,J$102,'[4]Clin-PDD'!$A$73:$J$79)</f>
        <v>45.2</v>
      </c>
      <c r="K116" s="63">
        <f>inter($B116/10,K$102,'[4]Clin-PDD'!$A$73:$J$79)</f>
        <v>47.6</v>
      </c>
    </row>
    <row r="118" spans="1:11" x14ac:dyDescent="0.25">
      <c r="A118" s="82" t="s">
        <v>43</v>
      </c>
    </row>
    <row r="119" spans="1:11" ht="18" x14ac:dyDescent="0.25">
      <c r="A119" s="2" t="s">
        <v>33</v>
      </c>
    </row>
    <row r="121" spans="1:11" ht="18.75" x14ac:dyDescent="0.3">
      <c r="A121" s="207" t="s">
        <v>30</v>
      </c>
      <c r="B121" s="208"/>
      <c r="C121" s="208"/>
      <c r="D121" s="208"/>
      <c r="E121" s="208"/>
      <c r="F121" s="208"/>
      <c r="G121" s="208"/>
      <c r="H121" s="208"/>
      <c r="I121" s="208"/>
      <c r="J121" s="208"/>
      <c r="K121" s="209"/>
    </row>
    <row r="123" spans="1:11" ht="18" customHeight="1" x14ac:dyDescent="0.25">
      <c r="C123" s="1"/>
      <c r="D123" s="1"/>
      <c r="E123" s="1"/>
      <c r="F123" s="1"/>
    </row>
    <row r="124" spans="1:11" ht="18" x14ac:dyDescent="0.25">
      <c r="A124" s="213" t="s">
        <v>20</v>
      </c>
      <c r="B124" s="213"/>
      <c r="C124" s="77" t="s">
        <v>27</v>
      </c>
      <c r="D124" s="77"/>
      <c r="E124" s="77"/>
      <c r="F124" s="77"/>
      <c r="G124" s="77"/>
      <c r="H124" s="77"/>
      <c r="I124" s="77"/>
      <c r="J124" s="77"/>
    </row>
    <row r="125" spans="1:11" x14ac:dyDescent="0.25">
      <c r="A125" s="1"/>
      <c r="B125" s="23"/>
      <c r="C125" s="46">
        <v>1</v>
      </c>
      <c r="D125" s="80">
        <v>1.5</v>
      </c>
      <c r="E125" s="47">
        <f>'[4]Clin-PDD'!D$88</f>
        <v>2</v>
      </c>
      <c r="F125" s="47">
        <f>'[4]Clin-PDD'!E$88</f>
        <v>3</v>
      </c>
      <c r="G125" s="47">
        <f>'[4]Clin-PDD'!F$88</f>
        <v>4</v>
      </c>
      <c r="H125" s="47">
        <f>'[4]Clin-PDD'!G$88</f>
        <v>5</v>
      </c>
      <c r="I125" s="47">
        <f>'[4]Clin-PDD'!H$88</f>
        <v>6</v>
      </c>
      <c r="J125" s="48">
        <f>'[4]Clin-PDD'!I$88</f>
        <v>8</v>
      </c>
      <c r="K125" s="23"/>
    </row>
    <row r="126" spans="1:11" ht="15" customHeight="1" x14ac:dyDescent="0.25">
      <c r="A126" s="203" t="s">
        <v>32</v>
      </c>
      <c r="B126" s="154">
        <v>0</v>
      </c>
      <c r="C126" s="49">
        <f>'[4]Clin-PDD'!B89</f>
        <v>100</v>
      </c>
      <c r="D126" s="50">
        <f>'[4]Clin-PDD'!C89</f>
        <v>100</v>
      </c>
      <c r="E126" s="50">
        <f>'[4]Clin-PDD'!D89</f>
        <v>100</v>
      </c>
      <c r="F126" s="50">
        <f>'[4]Clin-PDD'!E89</f>
        <v>100</v>
      </c>
      <c r="G126" s="50">
        <f>'[4]Clin-PDD'!F89</f>
        <v>100</v>
      </c>
      <c r="H126" s="50">
        <f>'[4]Clin-PDD'!G89</f>
        <v>100</v>
      </c>
      <c r="I126" s="50">
        <f>'[4]Clin-PDD'!H89</f>
        <v>100</v>
      </c>
      <c r="J126" s="51">
        <f>'[4]Clin-PDD'!I89</f>
        <v>100</v>
      </c>
    </row>
    <row r="127" spans="1:11" x14ac:dyDescent="0.25">
      <c r="A127" s="203"/>
      <c r="B127" s="155">
        <v>1</v>
      </c>
      <c r="C127" s="58">
        <f>inter($B127/10,C$125,'[4]Clin-PDD'!$A$88:$I$94)</f>
        <v>95.594800000000006</v>
      </c>
      <c r="D127" s="59">
        <f>inter($B127/10,D$125,'[4]Clin-PDD'!$A$88:$I$94)</f>
        <v>95.942599999999999</v>
      </c>
      <c r="E127" s="59">
        <f>inter($B127/10,E$125,'[4]Clin-PDD'!$A$88:$I$94)</f>
        <v>96.290400000000005</v>
      </c>
      <c r="F127" s="59">
        <f>inter($B127/10,F$125,'[4]Clin-PDD'!$A$88:$I$94)</f>
        <v>96.802599999999998</v>
      </c>
      <c r="G127" s="59">
        <f>inter($B127/10,G$125,'[4]Clin-PDD'!$A$88:$I$94)</f>
        <v>97.122600000000006</v>
      </c>
      <c r="H127" s="59">
        <f>inter($B127/10,H$125,'[4]Clin-PDD'!$A$88:$I$94)</f>
        <v>97.342600000000004</v>
      </c>
      <c r="I127" s="59">
        <f>inter($B127/10,I$125,'[4]Clin-PDD'!$A$88:$I$94)</f>
        <v>97.498199999999997</v>
      </c>
      <c r="J127" s="60">
        <f>inter($B127/10,J$125,'[4]Clin-PDD'!$A$88:$I$94)</f>
        <v>97.693799999999996</v>
      </c>
    </row>
    <row r="128" spans="1:11" x14ac:dyDescent="0.25">
      <c r="A128" s="203"/>
      <c r="B128" s="155">
        <v>2</v>
      </c>
      <c r="C128" s="58">
        <f>inter($B128/10,C$125,'[4]Clin-PDD'!$A$88:$I$94)</f>
        <v>91.189599999999999</v>
      </c>
      <c r="D128" s="59">
        <f>inter($B128/10,D$125,'[4]Clin-PDD'!$A$88:$I$94)</f>
        <v>91.885199999999998</v>
      </c>
      <c r="E128" s="59">
        <f>inter($B128/10,E$125,'[4]Clin-PDD'!$A$88:$I$94)</f>
        <v>92.580799999999996</v>
      </c>
      <c r="F128" s="59">
        <f>inter($B128/10,F$125,'[4]Clin-PDD'!$A$88:$I$94)</f>
        <v>93.605199999999996</v>
      </c>
      <c r="G128" s="59">
        <f>inter($B128/10,G$125,'[4]Clin-PDD'!$A$88:$I$94)</f>
        <v>94.245199999999997</v>
      </c>
      <c r="H128" s="59">
        <f>inter($B128/10,H$125,'[4]Clin-PDD'!$A$88:$I$94)</f>
        <v>94.685199999999995</v>
      </c>
      <c r="I128" s="59">
        <f>inter($B128/10,I$125,'[4]Clin-PDD'!$A$88:$I$94)</f>
        <v>94.996399999999994</v>
      </c>
      <c r="J128" s="60">
        <f>inter($B128/10,J$125,'[4]Clin-PDD'!$A$88:$I$94)</f>
        <v>95.387599999999992</v>
      </c>
    </row>
    <row r="129" spans="1:11" x14ac:dyDescent="0.25">
      <c r="A129" s="203"/>
      <c r="B129" s="155">
        <v>3</v>
      </c>
      <c r="C129" s="58">
        <f>inter($B129/10,C$125,'[4]Clin-PDD'!$A$88:$I$94)</f>
        <v>86.784400000000005</v>
      </c>
      <c r="D129" s="59">
        <f>inter($B129/10,D$125,'[4]Clin-PDD'!$A$88:$I$94)</f>
        <v>87.827799999999996</v>
      </c>
      <c r="E129" s="59">
        <f>inter($B129/10,E$125,'[4]Clin-PDD'!$A$88:$I$94)</f>
        <v>88.871200000000002</v>
      </c>
      <c r="F129" s="59">
        <f>inter($B129/10,F$125,'[4]Clin-PDD'!$A$88:$I$94)</f>
        <v>90.407800000000009</v>
      </c>
      <c r="G129" s="59">
        <f>inter($B129/10,G$125,'[4]Clin-PDD'!$A$88:$I$94)</f>
        <v>91.367800000000003</v>
      </c>
      <c r="H129" s="59">
        <f>inter($B129/10,H$125,'[4]Clin-PDD'!$A$88:$I$94)</f>
        <v>92.027799999999999</v>
      </c>
      <c r="I129" s="59">
        <f>inter($B129/10,I$125,'[4]Clin-PDD'!$A$88:$I$94)</f>
        <v>92.494600000000005</v>
      </c>
      <c r="J129" s="60">
        <f>inter($B129/10,J$125,'[4]Clin-PDD'!$A$88:$I$94)</f>
        <v>93.081400000000002</v>
      </c>
    </row>
    <row r="130" spans="1:11" x14ac:dyDescent="0.25">
      <c r="A130" s="203"/>
      <c r="B130" s="155">
        <v>4</v>
      </c>
      <c r="C130" s="58">
        <f>inter($B130/10,C$125,'[4]Clin-PDD'!$A$88:$I$94)</f>
        <v>82.379199999999997</v>
      </c>
      <c r="D130" s="59">
        <f>inter($B130/10,D$125,'[4]Clin-PDD'!$A$88:$I$94)</f>
        <v>83.770399999999995</v>
      </c>
      <c r="E130" s="59">
        <f>inter($B130/10,E$125,'[4]Clin-PDD'!$A$88:$I$94)</f>
        <v>85.161599999999993</v>
      </c>
      <c r="F130" s="59">
        <f>inter($B130/10,F$125,'[4]Clin-PDD'!$A$88:$I$94)</f>
        <v>87.210400000000007</v>
      </c>
      <c r="G130" s="59">
        <f>inter($B130/10,G$125,'[4]Clin-PDD'!$A$88:$I$94)</f>
        <v>88.490399999999994</v>
      </c>
      <c r="H130" s="59">
        <f>inter($B130/10,H$125,'[4]Clin-PDD'!$A$88:$I$94)</f>
        <v>89.370399999999989</v>
      </c>
      <c r="I130" s="59">
        <f>inter($B130/10,I$125,'[4]Clin-PDD'!$A$88:$I$94)</f>
        <v>89.992800000000003</v>
      </c>
      <c r="J130" s="60">
        <f>inter($B130/10,J$125,'[4]Clin-PDD'!$A$88:$I$94)</f>
        <v>90.775199999999998</v>
      </c>
    </row>
    <row r="131" spans="1:11" x14ac:dyDescent="0.25">
      <c r="A131" s="203"/>
      <c r="B131" s="155">
        <v>5</v>
      </c>
      <c r="C131" s="58">
        <f>inter($B131/10,C$125,'[4]Clin-PDD'!$A$88:$I$94)</f>
        <v>77.974000000000004</v>
      </c>
      <c r="D131" s="59">
        <f>inter($B131/10,D$125,'[4]Clin-PDD'!$A$88:$I$94)</f>
        <v>79.712999999999994</v>
      </c>
      <c r="E131" s="59">
        <f>inter($B131/10,E$125,'[4]Clin-PDD'!$A$88:$I$94)</f>
        <v>81.451999999999998</v>
      </c>
      <c r="F131" s="59">
        <f>inter($B131/10,F$125,'[4]Clin-PDD'!$A$88:$I$94)</f>
        <v>84.013000000000005</v>
      </c>
      <c r="G131" s="59">
        <f>inter($B131/10,G$125,'[4]Clin-PDD'!$A$88:$I$94)</f>
        <v>85.613</v>
      </c>
      <c r="H131" s="59">
        <f>inter($B131/10,H$125,'[4]Clin-PDD'!$A$88:$I$94)</f>
        <v>86.712999999999994</v>
      </c>
      <c r="I131" s="59">
        <f>inter($B131/10,I$125,'[4]Clin-PDD'!$A$88:$I$94)</f>
        <v>87.491</v>
      </c>
      <c r="J131" s="60">
        <f>inter($B131/10,J$125,'[4]Clin-PDD'!$A$88:$I$94)</f>
        <v>88.468999999999994</v>
      </c>
    </row>
    <row r="132" spans="1:11" x14ac:dyDescent="0.25">
      <c r="A132" s="203"/>
      <c r="B132" s="155">
        <v>6</v>
      </c>
      <c r="C132" s="58">
        <f>inter($B132/10,C$125,'[4]Clin-PDD'!$A$88:$I$94)</f>
        <v>74.690200000000004</v>
      </c>
      <c r="D132" s="59">
        <f>inter($B132/10,D$125,'[4]Clin-PDD'!$A$88:$I$94)</f>
        <v>76.596499999999992</v>
      </c>
      <c r="E132" s="59">
        <f>inter($B132/10,E$125,'[4]Clin-PDD'!$A$88:$I$94)</f>
        <v>78.502799999999993</v>
      </c>
      <c r="F132" s="59">
        <f>inter($B132/10,F$125,'[4]Clin-PDD'!$A$88:$I$94)</f>
        <v>81.318399999999997</v>
      </c>
      <c r="G132" s="59">
        <f>inter($B132/10,G$125,'[4]Clin-PDD'!$A$88:$I$94)</f>
        <v>83.078400000000002</v>
      </c>
      <c r="H132" s="59">
        <f>inter($B132/10,H$125,'[4]Clin-PDD'!$A$88:$I$94)</f>
        <v>84.270599999999988</v>
      </c>
      <c r="I132" s="59">
        <f>inter($B132/10,I$125,'[4]Clin-PDD'!$A$88:$I$94)</f>
        <v>85.132999999999996</v>
      </c>
      <c r="J132" s="60">
        <f>inter($B132/10,J$125,'[4]Clin-PDD'!$A$88:$I$94)</f>
        <v>86.243200000000002</v>
      </c>
    </row>
    <row r="133" spans="1:11" x14ac:dyDescent="0.25">
      <c r="A133" s="203"/>
      <c r="B133" s="155">
        <v>7</v>
      </c>
      <c r="C133" s="58">
        <f>inter($B133/10,C$125,'[4]Clin-PDD'!$A$88:$I$94)</f>
        <v>71.406400000000005</v>
      </c>
      <c r="D133" s="59">
        <f>inter($B133/10,D$125,'[4]Clin-PDD'!$A$88:$I$94)</f>
        <v>73.47999999999999</v>
      </c>
      <c r="E133" s="59">
        <f>inter($B133/10,E$125,'[4]Clin-PDD'!$A$88:$I$94)</f>
        <v>75.553600000000003</v>
      </c>
      <c r="F133" s="59">
        <f>inter($B133/10,F$125,'[4]Clin-PDD'!$A$88:$I$94)</f>
        <v>78.623800000000003</v>
      </c>
      <c r="G133" s="59">
        <f>inter($B133/10,G$125,'[4]Clin-PDD'!$A$88:$I$94)</f>
        <v>80.543800000000005</v>
      </c>
      <c r="H133" s="59">
        <f>inter($B133/10,H$125,'[4]Clin-PDD'!$A$88:$I$94)</f>
        <v>81.828199999999995</v>
      </c>
      <c r="I133" s="59">
        <f>inter($B133/10,I$125,'[4]Clin-PDD'!$A$88:$I$94)</f>
        <v>82.775000000000006</v>
      </c>
      <c r="J133" s="60">
        <f>inter($B133/10,J$125,'[4]Clin-PDD'!$A$88:$I$94)</f>
        <v>84.017399999999995</v>
      </c>
    </row>
    <row r="134" spans="1:11" x14ac:dyDescent="0.25">
      <c r="A134" s="203"/>
      <c r="B134" s="155">
        <v>8</v>
      </c>
      <c r="C134" s="58">
        <f>inter($B134/10,C$125,'[4]Clin-PDD'!$A$88:$I$94)</f>
        <v>68.122600000000006</v>
      </c>
      <c r="D134" s="59">
        <f>inter($B134/10,D$125,'[4]Clin-PDD'!$A$88:$I$94)</f>
        <v>70.363499999999988</v>
      </c>
      <c r="E134" s="59">
        <f>inter($B134/10,E$125,'[4]Clin-PDD'!$A$88:$I$94)</f>
        <v>72.604399999999998</v>
      </c>
      <c r="F134" s="59">
        <f>inter($B134/10,F$125,'[4]Clin-PDD'!$A$88:$I$94)</f>
        <v>75.929199999999994</v>
      </c>
      <c r="G134" s="59">
        <f>inter($B134/10,G$125,'[4]Clin-PDD'!$A$88:$I$94)</f>
        <v>78.009199999999993</v>
      </c>
      <c r="H134" s="59">
        <f>inter($B134/10,H$125,'[4]Clin-PDD'!$A$88:$I$94)</f>
        <v>79.385799999999989</v>
      </c>
      <c r="I134" s="59">
        <f>inter($B134/10,I$125,'[4]Clin-PDD'!$A$88:$I$94)</f>
        <v>80.417000000000002</v>
      </c>
      <c r="J134" s="60">
        <f>inter($B134/10,J$125,'[4]Clin-PDD'!$A$88:$I$94)</f>
        <v>81.791600000000003</v>
      </c>
    </row>
    <row r="135" spans="1:11" x14ac:dyDescent="0.25">
      <c r="A135" s="203"/>
      <c r="B135" s="155">
        <v>9</v>
      </c>
      <c r="C135" s="58">
        <f>inter($B135/10,C$125,'[4]Clin-PDD'!$A$88:$I$94)</f>
        <v>64.838799999999992</v>
      </c>
      <c r="D135" s="59">
        <f>inter($B135/10,D$125,'[4]Clin-PDD'!$A$88:$I$94)</f>
        <v>67.247</v>
      </c>
      <c r="E135" s="59">
        <f>inter($B135/10,E$125,'[4]Clin-PDD'!$A$88:$I$94)</f>
        <v>69.655200000000008</v>
      </c>
      <c r="F135" s="59">
        <f>inter($B135/10,F$125,'[4]Clin-PDD'!$A$88:$I$94)</f>
        <v>73.2346</v>
      </c>
      <c r="G135" s="59">
        <f>inter($B135/10,G$125,'[4]Clin-PDD'!$A$88:$I$94)</f>
        <v>75.474599999999995</v>
      </c>
      <c r="H135" s="59">
        <f>inter($B135/10,H$125,'[4]Clin-PDD'!$A$88:$I$94)</f>
        <v>76.943399999999997</v>
      </c>
      <c r="I135" s="59">
        <f>inter($B135/10,I$125,'[4]Clin-PDD'!$A$88:$I$94)</f>
        <v>78.058999999999997</v>
      </c>
      <c r="J135" s="60">
        <f>inter($B135/10,J$125,'[4]Clin-PDD'!$A$88:$I$94)</f>
        <v>79.565799999999996</v>
      </c>
    </row>
    <row r="136" spans="1:11" x14ac:dyDescent="0.25">
      <c r="A136" s="203"/>
      <c r="B136" s="155">
        <v>10</v>
      </c>
      <c r="C136" s="58">
        <f>inter($B136/10,C$125,'[4]Clin-PDD'!$A$88:$I$94)</f>
        <v>61.555</v>
      </c>
      <c r="D136" s="59">
        <f>inter($B136/10,D$125,'[4]Clin-PDD'!$A$88:$I$94)</f>
        <v>64.130499999999998</v>
      </c>
      <c r="E136" s="59">
        <f>inter($B136/10,E$125,'[4]Clin-PDD'!$A$88:$I$94)</f>
        <v>66.706000000000003</v>
      </c>
      <c r="F136" s="59">
        <f>inter($B136/10,F$125,'[4]Clin-PDD'!$A$88:$I$94)</f>
        <v>70.539999999999992</v>
      </c>
      <c r="G136" s="59">
        <f>inter($B136/10,G$125,'[4]Clin-PDD'!$A$88:$I$94)</f>
        <v>72.94</v>
      </c>
      <c r="H136" s="59">
        <f>inter($B136/10,H$125,'[4]Clin-PDD'!$A$88:$I$94)</f>
        <v>74.500999999999991</v>
      </c>
      <c r="I136" s="59">
        <f>inter($B136/10,I$125,'[4]Clin-PDD'!$A$88:$I$94)</f>
        <v>75.700999999999993</v>
      </c>
      <c r="J136" s="60">
        <f>inter($B136/10,J$125,'[4]Clin-PDD'!$A$88:$I$94)</f>
        <v>77.34</v>
      </c>
    </row>
    <row r="137" spans="1:11" x14ac:dyDescent="0.25">
      <c r="A137" s="203"/>
      <c r="B137" s="156">
        <v>15</v>
      </c>
      <c r="C137" s="58">
        <f>inter($B137/10,C$125,'[4]Clin-PDD'!$A$88:$I$94)</f>
        <v>50.680499999999995</v>
      </c>
      <c r="D137" s="59">
        <f>inter($B137/10,D$125,'[4]Clin-PDD'!$A$88:$I$94)</f>
        <v>53.349999999999994</v>
      </c>
      <c r="E137" s="59">
        <f>inter($B137/10,E$125,'[4]Clin-PDD'!$A$88:$I$94)</f>
        <v>56.019500000000001</v>
      </c>
      <c r="F137" s="59">
        <f>inter($B137/10,F$125,'[4]Clin-PDD'!$A$88:$I$94)</f>
        <v>59.905999999999992</v>
      </c>
      <c r="G137" s="59">
        <f>inter($B137/10,G$125,'[4]Clin-PDD'!$A$88:$I$94)</f>
        <v>62.506</v>
      </c>
      <c r="H137" s="59">
        <f>inter($B137/10,H$125,'[4]Clin-PDD'!$A$88:$I$94)</f>
        <v>64.347499999999997</v>
      </c>
      <c r="I137" s="59">
        <f>inter($B137/10,I$125,'[4]Clin-PDD'!$A$88:$I$94)</f>
        <v>65.758499999999998</v>
      </c>
      <c r="J137" s="60">
        <f>inter($B137/10,J$125,'[4]Clin-PDD'!$A$88:$I$94)</f>
        <v>67.669499999999999</v>
      </c>
    </row>
    <row r="138" spans="1:11" x14ac:dyDescent="0.25">
      <c r="A138" s="203"/>
      <c r="B138" s="156">
        <v>20</v>
      </c>
      <c r="C138" s="58">
        <f>inter($B138/10,C$125,'[4]Clin-PDD'!$A$88:$I$94)</f>
        <v>39.805999999999997</v>
      </c>
      <c r="D138" s="59">
        <f>inter($B138/10,D$125,'[4]Clin-PDD'!$A$88:$I$94)</f>
        <v>42.569499999999998</v>
      </c>
      <c r="E138" s="59">
        <f>inter($B138/10,E$125,'[4]Clin-PDD'!$A$88:$I$94)</f>
        <v>45.332999999999998</v>
      </c>
      <c r="F138" s="59">
        <f>inter($B138/10,F$125,'[4]Clin-PDD'!$A$88:$I$94)</f>
        <v>49.271999999999998</v>
      </c>
      <c r="G138" s="59">
        <f>inter($B138/10,G$125,'[4]Clin-PDD'!$A$88:$I$94)</f>
        <v>52.072000000000003</v>
      </c>
      <c r="H138" s="59">
        <f>inter($B138/10,H$125,'[4]Clin-PDD'!$A$88:$I$94)</f>
        <v>54.193999999999996</v>
      </c>
      <c r="I138" s="59">
        <f>inter($B138/10,I$125,'[4]Clin-PDD'!$A$88:$I$94)</f>
        <v>55.816000000000003</v>
      </c>
      <c r="J138" s="60">
        <f>inter($B138/10,J$125,'[4]Clin-PDD'!$A$88:$I$94)</f>
        <v>57.998999999999995</v>
      </c>
    </row>
    <row r="139" spans="1:11" x14ac:dyDescent="0.25">
      <c r="A139" s="203"/>
      <c r="B139" s="157">
        <v>30</v>
      </c>
      <c r="C139" s="58">
        <f>inter($B139/10,C$125,'[4]Clin-PDD'!$A$88:$I$94)</f>
        <v>26.905999999999999</v>
      </c>
      <c r="D139" s="59">
        <f>inter($B139/10,D$125,'[4]Clin-PDD'!$A$88:$I$94)</f>
        <v>28.916999999999998</v>
      </c>
      <c r="E139" s="59">
        <f>inter($B139/10,E$125,'[4]Clin-PDD'!$A$88:$I$94)</f>
        <v>30.927999999999997</v>
      </c>
      <c r="F139" s="59">
        <f>inter($B139/10,F$125,'[4]Clin-PDD'!$A$88:$I$94)</f>
        <v>34.427999999999997</v>
      </c>
      <c r="G139" s="59">
        <f>inter($B139/10,G$125,'[4]Clin-PDD'!$A$88:$I$94)</f>
        <v>36.972000000000001</v>
      </c>
      <c r="H139" s="59">
        <f>inter($B139/10,H$125,'[4]Clin-PDD'!$A$88:$I$94)</f>
        <v>39.055</v>
      </c>
      <c r="I139" s="59">
        <f>inter($B139/10,I$125,'[4]Clin-PDD'!$A$88:$I$94)</f>
        <v>40.637999999999998</v>
      </c>
      <c r="J139" s="60">
        <f>inter($B139/10,J$125,'[4]Clin-PDD'!$A$88:$I$94)</f>
        <v>43.021000000000001</v>
      </c>
    </row>
    <row r="140" spans="1:11" x14ac:dyDescent="0.25">
      <c r="A140" s="203"/>
      <c r="B140" s="158">
        <v>40</v>
      </c>
      <c r="C140" s="61">
        <f>inter($B140/10,C$125,'[4]Clin-PDD'!$A$88:$I$94)</f>
        <v>18.800999999999998</v>
      </c>
      <c r="D140" s="62">
        <f>inter($B140/10,D$125,'[4]Clin-PDD'!$A$88:$I$94)</f>
        <v>20.300999999999998</v>
      </c>
      <c r="E140" s="62">
        <f>inter($B140/10,E$125,'[4]Clin-PDD'!$A$88:$I$94)</f>
        <v>21.800999999999998</v>
      </c>
      <c r="F140" s="62">
        <f>inter($B140/10,F$125,'[4]Clin-PDD'!$A$88:$I$94)</f>
        <v>24.222999999999999</v>
      </c>
      <c r="G140" s="62">
        <f>inter($B140/10,G$125,'[4]Clin-PDD'!$A$88:$I$94)</f>
        <v>26.105999999999998</v>
      </c>
      <c r="H140" s="62">
        <f>inter($B140/10,H$125,'[4]Clin-PDD'!$A$88:$I$94)</f>
        <v>27.827999999999999</v>
      </c>
      <c r="I140" s="62">
        <f>inter($B140/10,I$125,'[4]Clin-PDD'!$A$88:$I$94)</f>
        <v>29.25</v>
      </c>
      <c r="J140" s="63">
        <f>inter($B140/10,J$125,'[4]Clin-PDD'!$A$88:$I$94)</f>
        <v>31.654999999999998</v>
      </c>
    </row>
    <row r="141" spans="1:11" x14ac:dyDescent="0.25">
      <c r="A141" s="1"/>
      <c r="B141" s="23"/>
      <c r="C141" s="23"/>
      <c r="D141" s="23"/>
      <c r="E141" s="23"/>
      <c r="F141" s="23"/>
      <c r="G141" s="23"/>
      <c r="H141" s="23"/>
      <c r="I141" s="23"/>
      <c r="J141" s="23"/>
    </row>
    <row r="142" spans="1:11" ht="18" customHeight="1" x14ac:dyDescent="0.25">
      <c r="C142" s="1"/>
      <c r="D142" s="1"/>
      <c r="E142" s="1"/>
      <c r="F142" s="1"/>
    </row>
    <row r="143" spans="1:11" ht="18" x14ac:dyDescent="0.25">
      <c r="A143" s="202" t="s">
        <v>39</v>
      </c>
      <c r="B143" s="202"/>
      <c r="C143" s="81" t="s">
        <v>27</v>
      </c>
      <c r="D143" s="81"/>
      <c r="E143" s="81"/>
      <c r="F143" s="81"/>
      <c r="G143" s="81"/>
      <c r="H143" s="81"/>
      <c r="I143" s="81"/>
      <c r="J143" s="81"/>
      <c r="K143" s="81"/>
    </row>
    <row r="144" spans="1:11" x14ac:dyDescent="0.25">
      <c r="A144" s="1"/>
      <c r="B144" s="23"/>
      <c r="C144" s="46">
        <v>1</v>
      </c>
      <c r="D144" s="80">
        <v>1.5</v>
      </c>
      <c r="E144" s="47">
        <f>'[4]Clin-PDD'!D$100</f>
        <v>2</v>
      </c>
      <c r="F144" s="47">
        <f>'[4]Clin-PDD'!E$100</f>
        <v>3</v>
      </c>
      <c r="G144" s="47">
        <f>'[4]Clin-PDD'!F$100</f>
        <v>4</v>
      </c>
      <c r="H144" s="47">
        <f>'[4]Clin-PDD'!G$100</f>
        <v>5</v>
      </c>
      <c r="I144" s="47">
        <f>'[4]Clin-PDD'!H$100</f>
        <v>6</v>
      </c>
      <c r="J144" s="47">
        <f>'[4]Clin-PDD'!I$100</f>
        <v>10</v>
      </c>
      <c r="K144" s="48">
        <f>'[4]Clin-PDD'!J$100</f>
        <v>15</v>
      </c>
    </row>
    <row r="145" spans="1:11" ht="15" customHeight="1" x14ac:dyDescent="0.25">
      <c r="A145" s="203" t="s">
        <v>32</v>
      </c>
      <c r="B145" s="154">
        <v>0</v>
      </c>
      <c r="C145" s="49">
        <f>'[4]Clin-PDD'!B101</f>
        <v>100</v>
      </c>
      <c r="D145" s="50">
        <f>'[4]Clin-PDD'!C101</f>
        <v>100</v>
      </c>
      <c r="E145" s="50">
        <f>'[4]Clin-PDD'!D101</f>
        <v>100</v>
      </c>
      <c r="F145" s="50">
        <f>'[4]Clin-PDD'!E101</f>
        <v>100</v>
      </c>
      <c r="G145" s="50">
        <f>'[4]Clin-PDD'!F101</f>
        <v>100</v>
      </c>
      <c r="H145" s="50">
        <f>'[4]Clin-PDD'!G101</f>
        <v>100</v>
      </c>
      <c r="I145" s="50">
        <f>'[4]Clin-PDD'!H101</f>
        <v>100</v>
      </c>
      <c r="J145" s="50">
        <f>'[4]Clin-PDD'!I101</f>
        <v>100</v>
      </c>
      <c r="K145" s="51">
        <f>'[4]Clin-PDD'!J101</f>
        <v>100</v>
      </c>
    </row>
    <row r="146" spans="1:11" x14ac:dyDescent="0.25">
      <c r="A146" s="203"/>
      <c r="B146" s="155">
        <v>1</v>
      </c>
      <c r="C146" s="58">
        <f>inter($B146/10,C$144,'[4]Clin-PDD'!$A$100:$J$106)</f>
        <v>96.028000000000006</v>
      </c>
      <c r="D146" s="59">
        <f>inter($B146/10,D$144,'[4]Clin-PDD'!$A$100:$J$106)</f>
        <v>96.363600000000005</v>
      </c>
      <c r="E146" s="59">
        <f>inter($B146/10,E$144,'[4]Clin-PDD'!$A$100:$J$106)</f>
        <v>96.699200000000005</v>
      </c>
      <c r="F146" s="59">
        <f>inter($B146/10,F$144,'[4]Clin-PDD'!$A$100:$J$106)</f>
        <v>97.186999999999998</v>
      </c>
      <c r="G146" s="59">
        <f>inter($B146/10,G$144,'[4]Clin-PDD'!$A$100:$J$106)</f>
        <v>97.519199999999998</v>
      </c>
      <c r="H146" s="59">
        <f>inter($B146/10,H$144,'[4]Clin-PDD'!$A$100:$J$106)</f>
        <v>97.727000000000004</v>
      </c>
      <c r="I146" s="59">
        <f>inter($B146/10,I$144,'[4]Clin-PDD'!$A$100:$J$106)</f>
        <v>97.874799999999993</v>
      </c>
      <c r="J146" s="59">
        <f>inter($B146/10,J$144,'[4]Clin-PDD'!$A$100:$J$106)</f>
        <v>98.190399999999997</v>
      </c>
      <c r="K146" s="60">
        <f>inter($B146/10,K$144,'[4]Clin-PDD'!$A$100:$J$106)</f>
        <v>98.413799999999995</v>
      </c>
    </row>
    <row r="147" spans="1:11" x14ac:dyDescent="0.25">
      <c r="A147" s="203"/>
      <c r="B147" s="155">
        <v>2</v>
      </c>
      <c r="C147" s="58">
        <f>inter($B147/10,C$144,'[4]Clin-PDD'!$A$100:$J$106)</f>
        <v>92.055999999999997</v>
      </c>
      <c r="D147" s="59">
        <f>inter($B147/10,D$144,'[4]Clin-PDD'!$A$100:$J$106)</f>
        <v>92.727200000000011</v>
      </c>
      <c r="E147" s="59">
        <f>inter($B147/10,E$144,'[4]Clin-PDD'!$A$100:$J$106)</f>
        <v>93.398400000000009</v>
      </c>
      <c r="F147" s="59">
        <f>inter($B147/10,F$144,'[4]Clin-PDD'!$A$100:$J$106)</f>
        <v>94.373999999999995</v>
      </c>
      <c r="G147" s="59">
        <f>inter($B147/10,G$144,'[4]Clin-PDD'!$A$100:$J$106)</f>
        <v>95.038399999999996</v>
      </c>
      <c r="H147" s="59">
        <f>inter($B147/10,H$144,'[4]Clin-PDD'!$A$100:$J$106)</f>
        <v>95.454000000000008</v>
      </c>
      <c r="I147" s="59">
        <f>inter($B147/10,I$144,'[4]Clin-PDD'!$A$100:$J$106)</f>
        <v>95.749600000000001</v>
      </c>
      <c r="J147" s="59">
        <f>inter($B147/10,J$144,'[4]Clin-PDD'!$A$100:$J$106)</f>
        <v>96.380799999999994</v>
      </c>
      <c r="K147" s="60">
        <f>inter($B147/10,K$144,'[4]Clin-PDD'!$A$100:$J$106)</f>
        <v>96.827600000000004</v>
      </c>
    </row>
    <row r="148" spans="1:11" x14ac:dyDescent="0.25">
      <c r="A148" s="203"/>
      <c r="B148" s="155">
        <v>3</v>
      </c>
      <c r="C148" s="58">
        <f>inter($B148/10,C$144,'[4]Clin-PDD'!$A$100:$J$106)</f>
        <v>88.084000000000003</v>
      </c>
      <c r="D148" s="59">
        <f>inter($B148/10,D$144,'[4]Clin-PDD'!$A$100:$J$106)</f>
        <v>89.090800000000002</v>
      </c>
      <c r="E148" s="59">
        <f>inter($B148/10,E$144,'[4]Clin-PDD'!$A$100:$J$106)</f>
        <v>90.0976</v>
      </c>
      <c r="F148" s="59">
        <f>inter($B148/10,F$144,'[4]Clin-PDD'!$A$100:$J$106)</f>
        <v>91.561000000000007</v>
      </c>
      <c r="G148" s="59">
        <f>inter($B148/10,G$144,'[4]Clin-PDD'!$A$100:$J$106)</f>
        <v>92.557600000000008</v>
      </c>
      <c r="H148" s="59">
        <f>inter($B148/10,H$144,'[4]Clin-PDD'!$A$100:$J$106)</f>
        <v>93.180999999999997</v>
      </c>
      <c r="I148" s="59">
        <f>inter($B148/10,I$144,'[4]Clin-PDD'!$A$100:$J$106)</f>
        <v>93.624399999999994</v>
      </c>
      <c r="J148" s="59">
        <f>inter($B148/10,J$144,'[4]Clin-PDD'!$A$100:$J$106)</f>
        <v>94.571200000000005</v>
      </c>
      <c r="K148" s="60">
        <f>inter($B148/10,K$144,'[4]Clin-PDD'!$A$100:$J$106)</f>
        <v>95.241399999999999</v>
      </c>
    </row>
    <row r="149" spans="1:11" x14ac:dyDescent="0.25">
      <c r="A149" s="203"/>
      <c r="B149" s="155">
        <v>4</v>
      </c>
      <c r="C149" s="58">
        <f>inter($B149/10,C$144,'[4]Clin-PDD'!$A$100:$J$106)</f>
        <v>84.111999999999995</v>
      </c>
      <c r="D149" s="59">
        <f>inter($B149/10,D$144,'[4]Clin-PDD'!$A$100:$J$106)</f>
        <v>85.454400000000007</v>
      </c>
      <c r="E149" s="59">
        <f>inter($B149/10,E$144,'[4]Clin-PDD'!$A$100:$J$106)</f>
        <v>86.796800000000005</v>
      </c>
      <c r="F149" s="59">
        <f>inter($B149/10,F$144,'[4]Clin-PDD'!$A$100:$J$106)</f>
        <v>88.748000000000005</v>
      </c>
      <c r="G149" s="59">
        <f>inter($B149/10,G$144,'[4]Clin-PDD'!$A$100:$J$106)</f>
        <v>90.076800000000006</v>
      </c>
      <c r="H149" s="59">
        <f>inter($B149/10,H$144,'[4]Clin-PDD'!$A$100:$J$106)</f>
        <v>90.908000000000001</v>
      </c>
      <c r="I149" s="59">
        <f>inter($B149/10,I$144,'[4]Clin-PDD'!$A$100:$J$106)</f>
        <v>91.499200000000002</v>
      </c>
      <c r="J149" s="59">
        <f>inter($B149/10,J$144,'[4]Clin-PDD'!$A$100:$J$106)</f>
        <v>92.761600000000001</v>
      </c>
      <c r="K149" s="60">
        <f>inter($B149/10,K$144,'[4]Clin-PDD'!$A$100:$J$106)</f>
        <v>93.655200000000008</v>
      </c>
    </row>
    <row r="150" spans="1:11" x14ac:dyDescent="0.25">
      <c r="A150" s="203"/>
      <c r="B150" s="155">
        <v>5</v>
      </c>
      <c r="C150" s="58">
        <f>inter($B150/10,C$144,'[4]Clin-PDD'!$A$100:$J$106)</f>
        <v>80.14</v>
      </c>
      <c r="D150" s="59">
        <f>inter($B150/10,D$144,'[4]Clin-PDD'!$A$100:$J$106)</f>
        <v>81.818000000000012</v>
      </c>
      <c r="E150" s="59">
        <f>inter($B150/10,E$144,'[4]Clin-PDD'!$A$100:$J$106)</f>
        <v>83.496000000000009</v>
      </c>
      <c r="F150" s="59">
        <f>inter($B150/10,F$144,'[4]Clin-PDD'!$A$100:$J$106)</f>
        <v>85.935000000000002</v>
      </c>
      <c r="G150" s="59">
        <f>inter($B150/10,G$144,'[4]Clin-PDD'!$A$100:$J$106)</f>
        <v>87.596000000000004</v>
      </c>
      <c r="H150" s="59">
        <f>inter($B150/10,H$144,'[4]Clin-PDD'!$A$100:$J$106)</f>
        <v>88.635000000000005</v>
      </c>
      <c r="I150" s="59">
        <f>inter($B150/10,I$144,'[4]Clin-PDD'!$A$100:$J$106)</f>
        <v>89.373999999999995</v>
      </c>
      <c r="J150" s="59">
        <f>inter($B150/10,J$144,'[4]Clin-PDD'!$A$100:$J$106)</f>
        <v>90.951999999999998</v>
      </c>
      <c r="K150" s="60">
        <f>inter($B150/10,K$144,'[4]Clin-PDD'!$A$100:$J$106)</f>
        <v>92.069000000000003</v>
      </c>
    </row>
    <row r="151" spans="1:11" x14ac:dyDescent="0.25">
      <c r="A151" s="203"/>
      <c r="B151" s="155">
        <v>6</v>
      </c>
      <c r="C151" s="58">
        <f>inter($B151/10,C$144,'[4]Clin-PDD'!$A$100:$J$106)</f>
        <v>77.058599999999998</v>
      </c>
      <c r="D151" s="59">
        <f>inter($B151/10,D$144,'[4]Clin-PDD'!$A$100:$J$106)</f>
        <v>78.92880000000001</v>
      </c>
      <c r="E151" s="59">
        <f>inter($B151/10,E$144,'[4]Clin-PDD'!$A$100:$J$106)</f>
        <v>80.799000000000007</v>
      </c>
      <c r="F151" s="59">
        <f>inter($B151/10,F$144,'[4]Clin-PDD'!$A$100:$J$106)</f>
        <v>83.522400000000005</v>
      </c>
      <c r="G151" s="59">
        <f>inter($B151/10,G$144,'[4]Clin-PDD'!$A$100:$J$106)</f>
        <v>85.319000000000003</v>
      </c>
      <c r="H151" s="59">
        <f>inter($B151/10,H$144,'[4]Clin-PDD'!$A$100:$J$106)</f>
        <v>86.478000000000009</v>
      </c>
      <c r="I151" s="59">
        <f>inter($B151/10,I$144,'[4]Clin-PDD'!$A$100:$J$106)</f>
        <v>87.30919999999999</v>
      </c>
      <c r="J151" s="59">
        <f>inter($B151/10,J$144,'[4]Clin-PDD'!$A$100:$J$106)</f>
        <v>89.147199999999998</v>
      </c>
      <c r="K151" s="60">
        <f>inter($B151/10,K$144,'[4]Clin-PDD'!$A$100:$J$106)</f>
        <v>90.397400000000005</v>
      </c>
    </row>
    <row r="152" spans="1:11" x14ac:dyDescent="0.25">
      <c r="A152" s="203"/>
      <c r="B152" s="155">
        <v>7</v>
      </c>
      <c r="C152" s="58">
        <f>inter($B152/10,C$144,'[4]Clin-PDD'!$A$100:$J$106)</f>
        <v>73.977200000000011</v>
      </c>
      <c r="D152" s="59">
        <f>inter($B152/10,D$144,'[4]Clin-PDD'!$A$100:$J$106)</f>
        <v>76.039600000000007</v>
      </c>
      <c r="E152" s="59">
        <f>inter($B152/10,E$144,'[4]Clin-PDD'!$A$100:$J$106)</f>
        <v>78.102000000000004</v>
      </c>
      <c r="F152" s="59">
        <f>inter($B152/10,F$144,'[4]Clin-PDD'!$A$100:$J$106)</f>
        <v>81.109800000000007</v>
      </c>
      <c r="G152" s="59">
        <f>inter($B152/10,G$144,'[4]Clin-PDD'!$A$100:$J$106)</f>
        <v>83.042000000000002</v>
      </c>
      <c r="H152" s="59">
        <f>inter($B152/10,H$144,'[4]Clin-PDD'!$A$100:$J$106)</f>
        <v>84.320999999999998</v>
      </c>
      <c r="I152" s="59">
        <f>inter($B152/10,I$144,'[4]Clin-PDD'!$A$100:$J$106)</f>
        <v>85.244399999999999</v>
      </c>
      <c r="J152" s="59">
        <f>inter($B152/10,J$144,'[4]Clin-PDD'!$A$100:$J$106)</f>
        <v>87.342399999999998</v>
      </c>
      <c r="K152" s="60">
        <f>inter($B152/10,K$144,'[4]Clin-PDD'!$A$100:$J$106)</f>
        <v>88.725800000000007</v>
      </c>
    </row>
    <row r="153" spans="1:11" x14ac:dyDescent="0.25">
      <c r="A153" s="203"/>
      <c r="B153" s="155">
        <v>8</v>
      </c>
      <c r="C153" s="58">
        <f>inter($B153/10,C$144,'[4]Clin-PDD'!$A$100:$J$106)</f>
        <v>70.895800000000008</v>
      </c>
      <c r="D153" s="59">
        <f>inter($B153/10,D$144,'[4]Clin-PDD'!$A$100:$J$106)</f>
        <v>73.150400000000005</v>
      </c>
      <c r="E153" s="59">
        <f>inter($B153/10,E$144,'[4]Clin-PDD'!$A$100:$J$106)</f>
        <v>75.405000000000001</v>
      </c>
      <c r="F153" s="59">
        <f>inter($B153/10,F$144,'[4]Clin-PDD'!$A$100:$J$106)</f>
        <v>78.697199999999995</v>
      </c>
      <c r="G153" s="59">
        <f>inter($B153/10,G$144,'[4]Clin-PDD'!$A$100:$J$106)</f>
        <v>80.765000000000001</v>
      </c>
      <c r="H153" s="59">
        <f>inter($B153/10,H$144,'[4]Clin-PDD'!$A$100:$J$106)</f>
        <v>82.164000000000001</v>
      </c>
      <c r="I153" s="59">
        <f>inter($B153/10,I$144,'[4]Clin-PDD'!$A$100:$J$106)</f>
        <v>83.179599999999994</v>
      </c>
      <c r="J153" s="59">
        <f>inter($B153/10,J$144,'[4]Clin-PDD'!$A$100:$J$106)</f>
        <v>85.537599999999998</v>
      </c>
      <c r="K153" s="60">
        <f>inter($B153/10,K$144,'[4]Clin-PDD'!$A$100:$J$106)</f>
        <v>87.054199999999994</v>
      </c>
    </row>
    <row r="154" spans="1:11" x14ac:dyDescent="0.25">
      <c r="A154" s="203"/>
      <c r="B154" s="155">
        <v>9</v>
      </c>
      <c r="C154" s="58">
        <f>inter($B154/10,C$144,'[4]Clin-PDD'!$A$100:$J$106)</f>
        <v>67.814400000000006</v>
      </c>
      <c r="D154" s="59">
        <f>inter($B154/10,D$144,'[4]Clin-PDD'!$A$100:$J$106)</f>
        <v>70.261200000000002</v>
      </c>
      <c r="E154" s="59">
        <f>inter($B154/10,E$144,'[4]Clin-PDD'!$A$100:$J$106)</f>
        <v>72.707999999999998</v>
      </c>
      <c r="F154" s="59">
        <f>inter($B154/10,F$144,'[4]Clin-PDD'!$A$100:$J$106)</f>
        <v>76.284599999999998</v>
      </c>
      <c r="G154" s="59">
        <f>inter($B154/10,G$144,'[4]Clin-PDD'!$A$100:$J$106)</f>
        <v>78.488</v>
      </c>
      <c r="H154" s="59">
        <f>inter($B154/10,H$144,'[4]Clin-PDD'!$A$100:$J$106)</f>
        <v>80.006999999999991</v>
      </c>
      <c r="I154" s="59">
        <f>inter($B154/10,I$144,'[4]Clin-PDD'!$A$100:$J$106)</f>
        <v>81.114800000000002</v>
      </c>
      <c r="J154" s="59">
        <f>inter($B154/10,J$144,'[4]Clin-PDD'!$A$100:$J$106)</f>
        <v>83.732799999999997</v>
      </c>
      <c r="K154" s="60">
        <f>inter($B154/10,K$144,'[4]Clin-PDD'!$A$100:$J$106)</f>
        <v>85.382599999999996</v>
      </c>
    </row>
    <row r="155" spans="1:11" x14ac:dyDescent="0.25">
      <c r="A155" s="203"/>
      <c r="B155" s="155">
        <v>10</v>
      </c>
      <c r="C155" s="58">
        <f>inter($B155/10,C$144,'[4]Clin-PDD'!$A$100:$J$106)</f>
        <v>64.733000000000004</v>
      </c>
      <c r="D155" s="59">
        <f>inter($B155/10,D$144,'[4]Clin-PDD'!$A$100:$J$106)</f>
        <v>67.372</v>
      </c>
      <c r="E155" s="59">
        <f>inter($B155/10,E$144,'[4]Clin-PDD'!$A$100:$J$106)</f>
        <v>70.010999999999996</v>
      </c>
      <c r="F155" s="59">
        <f>inter($B155/10,F$144,'[4]Clin-PDD'!$A$100:$J$106)</f>
        <v>73.872</v>
      </c>
      <c r="G155" s="59">
        <f>inter($B155/10,G$144,'[4]Clin-PDD'!$A$100:$J$106)</f>
        <v>76.210999999999999</v>
      </c>
      <c r="H155" s="59">
        <f>inter($B155/10,H$144,'[4]Clin-PDD'!$A$100:$J$106)</f>
        <v>77.849999999999994</v>
      </c>
      <c r="I155" s="59">
        <f>inter($B155/10,I$144,'[4]Clin-PDD'!$A$100:$J$106)</f>
        <v>79.05</v>
      </c>
      <c r="J155" s="59">
        <f>inter($B155/10,J$144,'[4]Clin-PDD'!$A$100:$J$106)</f>
        <v>81.927999999999997</v>
      </c>
      <c r="K155" s="60">
        <f>inter($B155/10,K$144,'[4]Clin-PDD'!$A$100:$J$106)</f>
        <v>83.710999999999999</v>
      </c>
    </row>
    <row r="156" spans="1:11" x14ac:dyDescent="0.25">
      <c r="A156" s="203"/>
      <c r="B156" s="156">
        <v>15</v>
      </c>
      <c r="C156" s="58">
        <f>inter($B156/10,C$144,'[4]Clin-PDD'!$A$100:$J$106)</f>
        <v>54.3855</v>
      </c>
      <c r="D156" s="59">
        <f>inter($B156/10,D$144,'[4]Clin-PDD'!$A$100:$J$106)</f>
        <v>57.055</v>
      </c>
      <c r="E156" s="59">
        <f>inter($B156/10,E$144,'[4]Clin-PDD'!$A$100:$J$106)</f>
        <v>59.724499999999999</v>
      </c>
      <c r="F156" s="59">
        <f>inter($B156/10,F$144,'[4]Clin-PDD'!$A$100:$J$106)</f>
        <v>63.915999999999997</v>
      </c>
      <c r="G156" s="59">
        <f>inter($B156/10,G$144,'[4]Clin-PDD'!$A$100:$J$106)</f>
        <v>66.566000000000003</v>
      </c>
      <c r="H156" s="59">
        <f>inter($B156/10,H$144,'[4]Clin-PDD'!$A$100:$J$106)</f>
        <v>68.477000000000004</v>
      </c>
      <c r="I156" s="59">
        <f>inter($B156/10,I$144,'[4]Clin-PDD'!$A$100:$J$106)</f>
        <v>69.918499999999995</v>
      </c>
      <c r="J156" s="59">
        <f>inter($B156/10,J$144,'[4]Clin-PDD'!$A$100:$J$106)</f>
        <v>73.221000000000004</v>
      </c>
      <c r="K156" s="60">
        <f>inter($B156/10,K$144,'[4]Clin-PDD'!$A$100:$J$106)</f>
        <v>75.3065</v>
      </c>
    </row>
    <row r="157" spans="1:11" x14ac:dyDescent="0.25">
      <c r="A157" s="203"/>
      <c r="B157" s="156">
        <v>20</v>
      </c>
      <c r="C157" s="58">
        <f>inter($B157/10,C$144,'[4]Clin-PDD'!$A$100:$J$106)</f>
        <v>44.037999999999997</v>
      </c>
      <c r="D157" s="59">
        <f>inter($B157/10,D$144,'[4]Clin-PDD'!$A$100:$J$106)</f>
        <v>46.738</v>
      </c>
      <c r="E157" s="59">
        <f>inter($B157/10,E$144,'[4]Clin-PDD'!$A$100:$J$106)</f>
        <v>49.438000000000002</v>
      </c>
      <c r="F157" s="59">
        <f>inter($B157/10,F$144,'[4]Clin-PDD'!$A$100:$J$106)</f>
        <v>53.959999999999994</v>
      </c>
      <c r="G157" s="59">
        <f>inter($B157/10,G$144,'[4]Clin-PDD'!$A$100:$J$106)</f>
        <v>56.920999999999999</v>
      </c>
      <c r="H157" s="59">
        <f>inter($B157/10,H$144,'[4]Clin-PDD'!$A$100:$J$106)</f>
        <v>59.103999999999999</v>
      </c>
      <c r="I157" s="59">
        <f>inter($B157/10,I$144,'[4]Clin-PDD'!$A$100:$J$106)</f>
        <v>60.786999999999999</v>
      </c>
      <c r="J157" s="59">
        <f>inter($B157/10,J$144,'[4]Clin-PDD'!$A$100:$J$106)</f>
        <v>64.51400000000001</v>
      </c>
      <c r="K157" s="60">
        <f>inter($B157/10,K$144,'[4]Clin-PDD'!$A$100:$J$106)</f>
        <v>66.902000000000001</v>
      </c>
    </row>
    <row r="158" spans="1:11" x14ac:dyDescent="0.25">
      <c r="A158" s="203"/>
      <c r="B158" s="157">
        <v>30</v>
      </c>
      <c r="C158" s="58">
        <f>inter($B158/10,C$144,'[4]Clin-PDD'!$A$100:$J$106)</f>
        <v>30.888999999999996</v>
      </c>
      <c r="D158" s="59">
        <f>inter($B158/10,D$144,'[4]Clin-PDD'!$A$100:$J$106)</f>
        <v>33.041499999999999</v>
      </c>
      <c r="E158" s="59">
        <f>inter($B158/10,E$144,'[4]Clin-PDD'!$A$100:$J$106)</f>
        <v>35.193999999999996</v>
      </c>
      <c r="F158" s="59">
        <f>inter($B158/10,F$144,'[4]Clin-PDD'!$A$100:$J$106)</f>
        <v>39.021000000000001</v>
      </c>
      <c r="G158" s="59">
        <f>inter($B158/10,G$144,'[4]Clin-PDD'!$A$100:$J$106)</f>
        <v>41.903999999999996</v>
      </c>
      <c r="H158" s="59">
        <f>inter($B158/10,H$144,'[4]Clin-PDD'!$A$100:$J$106)</f>
        <v>44.087000000000003</v>
      </c>
      <c r="I158" s="59">
        <f>inter($B158/10,I$144,'[4]Clin-PDD'!$A$100:$J$106)</f>
        <v>45.831000000000003</v>
      </c>
      <c r="J158" s="59">
        <f>inter($B158/10,J$144,'[4]Clin-PDD'!$A$100:$J$106)</f>
        <v>50.262999999999998</v>
      </c>
      <c r="K158" s="60">
        <f>inter($B158/10,K$144,'[4]Clin-PDD'!$A$100:$J$106)</f>
        <v>53.09</v>
      </c>
    </row>
    <row r="159" spans="1:11" x14ac:dyDescent="0.25">
      <c r="A159" s="203"/>
      <c r="B159" s="150">
        <v>40</v>
      </c>
      <c r="C159" s="61">
        <f>inter($B159/10,C$144,'[4]Clin-PDD'!$A$100:$J$106)</f>
        <v>22.367000000000001</v>
      </c>
      <c r="D159" s="62">
        <f>inter($B159/10,D$144,'[4]Clin-PDD'!$A$100:$J$106)</f>
        <v>24.119500000000002</v>
      </c>
      <c r="E159" s="62">
        <f>inter($B159/10,E$144,'[4]Clin-PDD'!$A$100:$J$106)</f>
        <v>25.872</v>
      </c>
      <c r="F159" s="62">
        <f>inter($B159/10,F$144,'[4]Clin-PDD'!$A$100:$J$106)</f>
        <v>28.594000000000001</v>
      </c>
      <c r="G159" s="62">
        <f>inter($B159/10,G$144,'[4]Clin-PDD'!$A$100:$J$106)</f>
        <v>30.798999999999999</v>
      </c>
      <c r="H159" s="62">
        <f>inter($B159/10,H$144,'[4]Clin-PDD'!$A$100:$J$106)</f>
        <v>32.704000000000001</v>
      </c>
      <c r="I159" s="62">
        <f>inter($B159/10,I$144,'[4]Clin-PDD'!$A$100:$J$106)</f>
        <v>34.247999999999998</v>
      </c>
      <c r="J159" s="62">
        <f>inter($B159/10,J$144,'[4]Clin-PDD'!$A$100:$J$106)</f>
        <v>38.819000000000003</v>
      </c>
      <c r="K159" s="63">
        <f>inter($B159/10,K$144,'[4]Clin-PDD'!$A$100:$J$106)</f>
        <v>41.980000000000004</v>
      </c>
    </row>
    <row r="161" spans="1:11" x14ac:dyDescent="0.25">
      <c r="A161" s="82" t="s">
        <v>44</v>
      </c>
    </row>
    <row r="162" spans="1:11" ht="18" x14ac:dyDescent="0.25">
      <c r="A162" s="2" t="s">
        <v>33</v>
      </c>
    </row>
    <row r="164" spans="1:11" ht="18.75" x14ac:dyDescent="0.3">
      <c r="A164" s="210" t="s">
        <v>31</v>
      </c>
      <c r="B164" s="211"/>
      <c r="C164" s="211"/>
      <c r="D164" s="211"/>
      <c r="E164" s="211"/>
      <c r="F164" s="211"/>
      <c r="G164" s="211"/>
      <c r="H164" s="211"/>
      <c r="I164" s="211"/>
      <c r="J164" s="211"/>
      <c r="K164" s="212"/>
    </row>
    <row r="166" spans="1:11" ht="18" customHeight="1" x14ac:dyDescent="0.25">
      <c r="C166" s="1"/>
      <c r="D166" s="1"/>
      <c r="E166" s="1"/>
      <c r="F166" s="1"/>
    </row>
    <row r="167" spans="1:11" ht="18" x14ac:dyDescent="0.25">
      <c r="A167" s="213" t="s">
        <v>20</v>
      </c>
      <c r="B167" s="213"/>
      <c r="C167" s="77" t="s">
        <v>27</v>
      </c>
      <c r="D167" s="77"/>
      <c r="E167" s="77"/>
      <c r="F167" s="77"/>
      <c r="G167" s="77"/>
      <c r="H167" s="77"/>
      <c r="I167" s="77"/>
      <c r="J167" s="77"/>
    </row>
    <row r="168" spans="1:11" x14ac:dyDescent="0.25">
      <c r="A168" s="1"/>
      <c r="B168" s="23"/>
      <c r="C168" s="46">
        <v>1</v>
      </c>
      <c r="D168" s="80">
        <v>1.5</v>
      </c>
      <c r="E168" s="47">
        <f>'[4]Clin-PDD'!D$115</f>
        <v>2</v>
      </c>
      <c r="F168" s="47">
        <f>'[4]Clin-PDD'!E$115</f>
        <v>3</v>
      </c>
      <c r="G168" s="47">
        <f>'[4]Clin-PDD'!F$115</f>
        <v>4</v>
      </c>
      <c r="H168" s="47">
        <f>'[4]Clin-PDD'!G$115</f>
        <v>5</v>
      </c>
      <c r="I168" s="47">
        <f>'[4]Clin-PDD'!H$115</f>
        <v>6</v>
      </c>
      <c r="J168" s="48">
        <f>'[4]Clin-PDD'!I$115</f>
        <v>8</v>
      </c>
      <c r="K168" s="23"/>
    </row>
    <row r="169" spans="1:11" ht="15" customHeight="1" x14ac:dyDescent="0.25">
      <c r="A169" s="203" t="s">
        <v>32</v>
      </c>
      <c r="B169" s="154">
        <v>0</v>
      </c>
      <c r="C169" s="49">
        <f>'[4]Clin-PDD'!B116</f>
        <v>100</v>
      </c>
      <c r="D169" s="50">
        <f>'[4]Clin-PDD'!C116</f>
        <v>100</v>
      </c>
      <c r="E169" s="50">
        <f>'[4]Clin-PDD'!D116</f>
        <v>100</v>
      </c>
      <c r="F169" s="50">
        <f>'[4]Clin-PDD'!E116</f>
        <v>100</v>
      </c>
      <c r="G169" s="50">
        <f>'[4]Clin-PDD'!F116</f>
        <v>100</v>
      </c>
      <c r="H169" s="50">
        <f>'[4]Clin-PDD'!G116</f>
        <v>100</v>
      </c>
      <c r="I169" s="50">
        <f>'[4]Clin-PDD'!H116</f>
        <v>100</v>
      </c>
      <c r="J169" s="51">
        <f>'[4]Clin-PDD'!I116</f>
        <v>100</v>
      </c>
    </row>
    <row r="170" spans="1:11" x14ac:dyDescent="0.25">
      <c r="A170" s="203"/>
      <c r="B170" s="155">
        <v>1</v>
      </c>
      <c r="C170" s="58">
        <f>inter($B170/10,C$168,'[4]Clin-PDD'!$A$115:$I$121)</f>
        <v>96.32</v>
      </c>
      <c r="D170" s="59">
        <f>inter($B170/10,D$168,'[4]Clin-PDD'!$A$115:$I$121)</f>
        <v>96.63</v>
      </c>
      <c r="E170" s="59">
        <f>inter($B170/10,E$168,'[4]Clin-PDD'!$A$115:$I$121)</f>
        <v>96.94</v>
      </c>
      <c r="F170" s="59">
        <f>inter($B170/10,F$168,'[4]Clin-PDD'!$A$115:$I$121)</f>
        <v>97.38</v>
      </c>
      <c r="G170" s="59">
        <f>inter($B170/10,G$168,'[4]Clin-PDD'!$A$115:$I$121)</f>
        <v>97.66</v>
      </c>
      <c r="H170" s="59">
        <f>inter($B170/10,H$168,'[4]Clin-PDD'!$A$115:$I$121)</f>
        <v>97.86</v>
      </c>
      <c r="I170" s="59">
        <f>inter($B170/10,I$168,'[4]Clin-PDD'!$A$115:$I$121)</f>
        <v>98</v>
      </c>
      <c r="J170" s="60">
        <f>inter($B170/10,J$168,'[4]Clin-PDD'!$A$115:$I$121)</f>
        <v>98.18</v>
      </c>
    </row>
    <row r="171" spans="1:11" x14ac:dyDescent="0.25">
      <c r="A171" s="203"/>
      <c r="B171" s="155">
        <v>2</v>
      </c>
      <c r="C171" s="58">
        <f>inter($B171/10,C$168,'[4]Clin-PDD'!$A$115:$I$121)</f>
        <v>92.64</v>
      </c>
      <c r="D171" s="59">
        <f>inter($B171/10,D$168,'[4]Clin-PDD'!$A$115:$I$121)</f>
        <v>93.26</v>
      </c>
      <c r="E171" s="59">
        <f>inter($B171/10,E$168,'[4]Clin-PDD'!$A$115:$I$121)</f>
        <v>93.88</v>
      </c>
      <c r="F171" s="59">
        <f>inter($B171/10,F$168,'[4]Clin-PDD'!$A$115:$I$121)</f>
        <v>94.76</v>
      </c>
      <c r="G171" s="59">
        <f>inter($B171/10,G$168,'[4]Clin-PDD'!$A$115:$I$121)</f>
        <v>95.32</v>
      </c>
      <c r="H171" s="59">
        <f>inter($B171/10,H$168,'[4]Clin-PDD'!$A$115:$I$121)</f>
        <v>95.72</v>
      </c>
      <c r="I171" s="59">
        <f>inter($B171/10,I$168,'[4]Clin-PDD'!$A$115:$I$121)</f>
        <v>96</v>
      </c>
      <c r="J171" s="60">
        <f>inter($B171/10,J$168,'[4]Clin-PDD'!$A$115:$I$121)</f>
        <v>96.36</v>
      </c>
    </row>
    <row r="172" spans="1:11" x14ac:dyDescent="0.25">
      <c r="A172" s="203"/>
      <c r="B172" s="155">
        <v>3</v>
      </c>
      <c r="C172" s="58">
        <f>inter($B172/10,C$168,'[4]Clin-PDD'!$A$115:$I$121)</f>
        <v>88.96</v>
      </c>
      <c r="D172" s="59">
        <f>inter($B172/10,D$168,'[4]Clin-PDD'!$A$115:$I$121)</f>
        <v>89.89</v>
      </c>
      <c r="E172" s="59">
        <f>inter($B172/10,E$168,'[4]Clin-PDD'!$A$115:$I$121)</f>
        <v>90.820000000000007</v>
      </c>
      <c r="F172" s="59">
        <f>inter($B172/10,F$168,'[4]Clin-PDD'!$A$115:$I$121)</f>
        <v>92.14</v>
      </c>
      <c r="G172" s="59">
        <f>inter($B172/10,G$168,'[4]Clin-PDD'!$A$115:$I$121)</f>
        <v>92.98</v>
      </c>
      <c r="H172" s="59">
        <f>inter($B172/10,H$168,'[4]Clin-PDD'!$A$115:$I$121)</f>
        <v>93.58</v>
      </c>
      <c r="I172" s="59">
        <f>inter($B172/10,I$168,'[4]Clin-PDD'!$A$115:$I$121)</f>
        <v>94</v>
      </c>
      <c r="J172" s="60">
        <f>inter($B172/10,J$168,'[4]Clin-PDD'!$A$115:$I$121)</f>
        <v>94.54</v>
      </c>
    </row>
    <row r="173" spans="1:11" x14ac:dyDescent="0.25">
      <c r="A173" s="203"/>
      <c r="B173" s="155">
        <v>4</v>
      </c>
      <c r="C173" s="58">
        <f>inter($B173/10,C$168,'[4]Clin-PDD'!$A$115:$I$121)</f>
        <v>85.28</v>
      </c>
      <c r="D173" s="59">
        <f>inter($B173/10,D$168,'[4]Clin-PDD'!$A$115:$I$121)</f>
        <v>86.52000000000001</v>
      </c>
      <c r="E173" s="59">
        <f>inter($B173/10,E$168,'[4]Clin-PDD'!$A$115:$I$121)</f>
        <v>87.76</v>
      </c>
      <c r="F173" s="59">
        <f>inter($B173/10,F$168,'[4]Clin-PDD'!$A$115:$I$121)</f>
        <v>89.52000000000001</v>
      </c>
      <c r="G173" s="59">
        <f>inter($B173/10,G$168,'[4]Clin-PDD'!$A$115:$I$121)</f>
        <v>90.64</v>
      </c>
      <c r="H173" s="59">
        <f>inter($B173/10,H$168,'[4]Clin-PDD'!$A$115:$I$121)</f>
        <v>91.44</v>
      </c>
      <c r="I173" s="59">
        <f>inter($B173/10,I$168,'[4]Clin-PDD'!$A$115:$I$121)</f>
        <v>92</v>
      </c>
      <c r="J173" s="60">
        <f>inter($B173/10,J$168,'[4]Clin-PDD'!$A$115:$I$121)</f>
        <v>92.72</v>
      </c>
    </row>
    <row r="174" spans="1:11" x14ac:dyDescent="0.25">
      <c r="A174" s="203"/>
      <c r="B174" s="155">
        <v>5</v>
      </c>
      <c r="C174" s="58">
        <f>inter($B174/10,C$168,'[4]Clin-PDD'!$A$115:$I$121)</f>
        <v>81.599999999999994</v>
      </c>
      <c r="D174" s="59">
        <f>inter($B174/10,D$168,'[4]Clin-PDD'!$A$115:$I$121)</f>
        <v>83.15</v>
      </c>
      <c r="E174" s="59">
        <f>inter($B174/10,E$168,'[4]Clin-PDD'!$A$115:$I$121)</f>
        <v>84.7</v>
      </c>
      <c r="F174" s="59">
        <f>inter($B174/10,F$168,'[4]Clin-PDD'!$A$115:$I$121)</f>
        <v>86.9</v>
      </c>
      <c r="G174" s="59">
        <f>inter($B174/10,G$168,'[4]Clin-PDD'!$A$115:$I$121)</f>
        <v>88.3</v>
      </c>
      <c r="H174" s="59">
        <f>inter($B174/10,H$168,'[4]Clin-PDD'!$A$115:$I$121)</f>
        <v>89.3</v>
      </c>
      <c r="I174" s="59">
        <f>inter($B174/10,I$168,'[4]Clin-PDD'!$A$115:$I$121)</f>
        <v>90</v>
      </c>
      <c r="J174" s="60">
        <f>inter($B174/10,J$168,'[4]Clin-PDD'!$A$115:$I$121)</f>
        <v>90.9</v>
      </c>
    </row>
    <row r="175" spans="1:11" x14ac:dyDescent="0.25">
      <c r="A175" s="203"/>
      <c r="B175" s="155">
        <v>6</v>
      </c>
      <c r="C175" s="58">
        <f>inter($B175/10,C$168,'[4]Clin-PDD'!$A$115:$I$121)</f>
        <v>78.78</v>
      </c>
      <c r="D175" s="59">
        <f>inter($B175/10,D$168,'[4]Clin-PDD'!$A$115:$I$121)</f>
        <v>80.45</v>
      </c>
      <c r="E175" s="59">
        <f>inter($B175/10,E$168,'[4]Clin-PDD'!$A$115:$I$121)</f>
        <v>82.12</v>
      </c>
      <c r="F175" s="59">
        <f>inter($B175/10,F$168,'[4]Clin-PDD'!$A$115:$I$121)</f>
        <v>84.5</v>
      </c>
      <c r="G175" s="59">
        <f>inter($B175/10,G$168,'[4]Clin-PDD'!$A$115:$I$121)</f>
        <v>86.06</v>
      </c>
      <c r="H175" s="59">
        <f>inter($B175/10,H$168,'[4]Clin-PDD'!$A$115:$I$121)</f>
        <v>87.179999999999993</v>
      </c>
      <c r="I175" s="59">
        <f>inter($B175/10,I$168,'[4]Clin-PDD'!$A$115:$I$121)</f>
        <v>87.96</v>
      </c>
      <c r="J175" s="60">
        <f>inter($B175/10,J$168,'[4]Clin-PDD'!$A$115:$I$121)</f>
        <v>89</v>
      </c>
    </row>
    <row r="176" spans="1:11" x14ac:dyDescent="0.25">
      <c r="A176" s="203"/>
      <c r="B176" s="155">
        <v>7</v>
      </c>
      <c r="C176" s="58">
        <f>inter($B176/10,C$168,'[4]Clin-PDD'!$A$115:$I$121)</f>
        <v>75.959999999999994</v>
      </c>
      <c r="D176" s="59">
        <f>inter($B176/10,D$168,'[4]Clin-PDD'!$A$115:$I$121)</f>
        <v>77.75</v>
      </c>
      <c r="E176" s="59">
        <f>inter($B176/10,E$168,'[4]Clin-PDD'!$A$115:$I$121)</f>
        <v>79.540000000000006</v>
      </c>
      <c r="F176" s="59">
        <f>inter($B176/10,F$168,'[4]Clin-PDD'!$A$115:$I$121)</f>
        <v>82.100000000000009</v>
      </c>
      <c r="G176" s="59">
        <f>inter($B176/10,G$168,'[4]Clin-PDD'!$A$115:$I$121)</f>
        <v>83.82</v>
      </c>
      <c r="H176" s="59">
        <f>inter($B176/10,H$168,'[4]Clin-PDD'!$A$115:$I$121)</f>
        <v>85.06</v>
      </c>
      <c r="I176" s="59">
        <f>inter($B176/10,I$168,'[4]Clin-PDD'!$A$115:$I$121)</f>
        <v>85.92</v>
      </c>
      <c r="J176" s="60">
        <f>inter($B176/10,J$168,'[4]Clin-PDD'!$A$115:$I$121)</f>
        <v>87.100000000000009</v>
      </c>
    </row>
    <row r="177" spans="1:11" x14ac:dyDescent="0.25">
      <c r="A177" s="203"/>
      <c r="B177" s="155">
        <v>8</v>
      </c>
      <c r="C177" s="58">
        <f>inter($B177/10,C$168,'[4]Clin-PDD'!$A$115:$I$121)</f>
        <v>73.14</v>
      </c>
      <c r="D177" s="59">
        <f>inter($B177/10,D$168,'[4]Clin-PDD'!$A$115:$I$121)</f>
        <v>75.050000000000011</v>
      </c>
      <c r="E177" s="59">
        <f>inter($B177/10,E$168,'[4]Clin-PDD'!$A$115:$I$121)</f>
        <v>76.959999999999994</v>
      </c>
      <c r="F177" s="59">
        <f>inter($B177/10,F$168,'[4]Clin-PDD'!$A$115:$I$121)</f>
        <v>79.7</v>
      </c>
      <c r="G177" s="59">
        <f>inter($B177/10,G$168,'[4]Clin-PDD'!$A$115:$I$121)</f>
        <v>81.58</v>
      </c>
      <c r="H177" s="59">
        <f>inter($B177/10,H$168,'[4]Clin-PDD'!$A$115:$I$121)</f>
        <v>82.94</v>
      </c>
      <c r="I177" s="59">
        <f>inter($B177/10,I$168,'[4]Clin-PDD'!$A$115:$I$121)</f>
        <v>83.88</v>
      </c>
      <c r="J177" s="60">
        <f>inter($B177/10,J$168,'[4]Clin-PDD'!$A$115:$I$121)</f>
        <v>85.2</v>
      </c>
    </row>
    <row r="178" spans="1:11" x14ac:dyDescent="0.25">
      <c r="A178" s="203"/>
      <c r="B178" s="155">
        <v>9</v>
      </c>
      <c r="C178" s="58">
        <f>inter($B178/10,C$168,'[4]Clin-PDD'!$A$115:$I$121)</f>
        <v>70.319999999999993</v>
      </c>
      <c r="D178" s="59">
        <f>inter($B178/10,D$168,'[4]Clin-PDD'!$A$115:$I$121)</f>
        <v>72.350000000000009</v>
      </c>
      <c r="E178" s="59">
        <f>inter($B178/10,E$168,'[4]Clin-PDD'!$A$115:$I$121)</f>
        <v>74.38</v>
      </c>
      <c r="F178" s="59">
        <f>inter($B178/10,F$168,'[4]Clin-PDD'!$A$115:$I$121)</f>
        <v>77.300000000000011</v>
      </c>
      <c r="G178" s="59">
        <f>inter($B178/10,G$168,'[4]Clin-PDD'!$A$115:$I$121)</f>
        <v>79.339999999999989</v>
      </c>
      <c r="H178" s="59">
        <f>inter($B178/10,H$168,'[4]Clin-PDD'!$A$115:$I$121)</f>
        <v>80.820000000000007</v>
      </c>
      <c r="I178" s="59">
        <f>inter($B178/10,I$168,'[4]Clin-PDD'!$A$115:$I$121)</f>
        <v>81.84</v>
      </c>
      <c r="J178" s="60">
        <f>inter($B178/10,J$168,'[4]Clin-PDD'!$A$115:$I$121)</f>
        <v>83.300000000000011</v>
      </c>
    </row>
    <row r="179" spans="1:11" x14ac:dyDescent="0.25">
      <c r="A179" s="203"/>
      <c r="B179" s="155">
        <v>10</v>
      </c>
      <c r="C179" s="58">
        <f>inter($B179/10,C$168,'[4]Clin-PDD'!$A$115:$I$121)</f>
        <v>67.5</v>
      </c>
      <c r="D179" s="59">
        <f>inter($B179/10,D$168,'[4]Clin-PDD'!$A$115:$I$121)</f>
        <v>69.650000000000006</v>
      </c>
      <c r="E179" s="59">
        <f>inter($B179/10,E$168,'[4]Clin-PDD'!$A$115:$I$121)</f>
        <v>71.8</v>
      </c>
      <c r="F179" s="59">
        <f>inter($B179/10,F$168,'[4]Clin-PDD'!$A$115:$I$121)</f>
        <v>74.900000000000006</v>
      </c>
      <c r="G179" s="59">
        <f>inter($B179/10,G$168,'[4]Clin-PDD'!$A$115:$I$121)</f>
        <v>77.099999999999994</v>
      </c>
      <c r="H179" s="59">
        <f>inter($B179/10,H$168,'[4]Clin-PDD'!$A$115:$I$121)</f>
        <v>78.7</v>
      </c>
      <c r="I179" s="59">
        <f>inter($B179/10,I$168,'[4]Clin-PDD'!$A$115:$I$121)</f>
        <v>79.8</v>
      </c>
      <c r="J179" s="60">
        <f>inter($B179/10,J$168,'[4]Clin-PDD'!$A$115:$I$121)</f>
        <v>81.400000000000006</v>
      </c>
    </row>
    <row r="180" spans="1:11" x14ac:dyDescent="0.25">
      <c r="A180" s="203"/>
      <c r="B180" s="156">
        <v>15</v>
      </c>
      <c r="C180" s="58">
        <f>inter($B180/10,C$168,'[4]Clin-PDD'!$A$115:$I$121)</f>
        <v>56.65</v>
      </c>
      <c r="D180" s="59">
        <f>inter($B180/10,D$168,'[4]Clin-PDD'!$A$115:$I$121)</f>
        <v>58.900000000000006</v>
      </c>
      <c r="E180" s="59">
        <f>inter($B180/10,E$168,'[4]Clin-PDD'!$A$115:$I$121)</f>
        <v>61.15</v>
      </c>
      <c r="F180" s="59">
        <f>inter($B180/10,F$168,'[4]Clin-PDD'!$A$115:$I$121)</f>
        <v>64.650000000000006</v>
      </c>
      <c r="G180" s="59">
        <f>inter($B180/10,G$168,'[4]Clin-PDD'!$A$115:$I$121)</f>
        <v>67.199999999999989</v>
      </c>
      <c r="H180" s="59">
        <f>inter($B180/10,H$168,'[4]Clin-PDD'!$A$115:$I$121)</f>
        <v>69.05</v>
      </c>
      <c r="I180" s="59">
        <f>inter($B180/10,I$168,'[4]Clin-PDD'!$A$115:$I$121)</f>
        <v>70.45</v>
      </c>
      <c r="J180" s="60">
        <f>inter($B180/10,J$168,'[4]Clin-PDD'!$A$115:$I$121)</f>
        <v>72.5</v>
      </c>
    </row>
    <row r="181" spans="1:11" x14ac:dyDescent="0.25">
      <c r="A181" s="203"/>
      <c r="B181" s="156">
        <v>20</v>
      </c>
      <c r="C181" s="58">
        <f>inter($B181/10,C$168,'[4]Clin-PDD'!$A$115:$I$121)</f>
        <v>45.8</v>
      </c>
      <c r="D181" s="59">
        <f>inter($B181/10,D$168,'[4]Clin-PDD'!$A$115:$I$121)</f>
        <v>48.15</v>
      </c>
      <c r="E181" s="59">
        <f>inter($B181/10,E$168,'[4]Clin-PDD'!$A$115:$I$121)</f>
        <v>50.5</v>
      </c>
      <c r="F181" s="59">
        <f>inter($B181/10,F$168,'[4]Clin-PDD'!$A$115:$I$121)</f>
        <v>54.4</v>
      </c>
      <c r="G181" s="59">
        <f>inter($B181/10,G$168,'[4]Clin-PDD'!$A$115:$I$121)</f>
        <v>57.3</v>
      </c>
      <c r="H181" s="59">
        <f>inter($B181/10,H$168,'[4]Clin-PDD'!$A$115:$I$121)</f>
        <v>59.4</v>
      </c>
      <c r="I181" s="59">
        <f>inter($B181/10,I$168,'[4]Clin-PDD'!$A$115:$I$121)</f>
        <v>61.1</v>
      </c>
      <c r="J181" s="60">
        <f>inter($B181/10,J$168,'[4]Clin-PDD'!$A$115:$I$121)</f>
        <v>63.6</v>
      </c>
    </row>
    <row r="182" spans="1:11" x14ac:dyDescent="0.25">
      <c r="A182" s="203"/>
      <c r="B182" s="157">
        <v>30</v>
      </c>
      <c r="C182" s="58">
        <f>inter($B182/10,C$168,'[4]Clin-PDD'!$A$115:$I$121)</f>
        <v>30</v>
      </c>
      <c r="D182" s="59">
        <f>inter($B182/10,D$168,'[4]Clin-PDD'!$A$115:$I$121)</f>
        <v>32.4</v>
      </c>
      <c r="E182" s="59">
        <f>inter($B182/10,E$168,'[4]Clin-PDD'!$A$115:$I$121)</f>
        <v>34.799999999999997</v>
      </c>
      <c r="F182" s="59">
        <f>inter($B182/10,F$168,'[4]Clin-PDD'!$A$115:$I$121)</f>
        <v>39.299999999999997</v>
      </c>
      <c r="G182" s="59">
        <f>inter($B182/10,G$168,'[4]Clin-PDD'!$A$115:$I$121)</f>
        <v>42</v>
      </c>
      <c r="H182" s="59">
        <f>inter($B182/10,H$168,'[4]Clin-PDD'!$A$115:$I$121)</f>
        <v>44.1</v>
      </c>
      <c r="I182" s="59">
        <f>inter($B182/10,I$168,'[4]Clin-PDD'!$A$115:$I$121)</f>
        <v>46</v>
      </c>
      <c r="J182" s="60">
        <f>inter($B182/10,J$168,'[4]Clin-PDD'!$A$115:$I$121)</f>
        <v>49.1</v>
      </c>
    </row>
    <row r="183" spans="1:11" x14ac:dyDescent="0.25">
      <c r="A183" s="203"/>
      <c r="B183" s="150">
        <v>40</v>
      </c>
      <c r="C183" s="61">
        <f>inter($B183/10,C$168,'[4]Clin-PDD'!$A$115:$I$121)</f>
        <v>22</v>
      </c>
      <c r="D183" s="62">
        <f>inter($B183/10,D$168,'[4]Clin-PDD'!$A$115:$I$121)</f>
        <v>23.85</v>
      </c>
      <c r="E183" s="62">
        <f>inter($B183/10,E$168,'[4]Clin-PDD'!$A$115:$I$121)</f>
        <v>25.7</v>
      </c>
      <c r="F183" s="62">
        <f>inter($B183/10,F$168,'[4]Clin-PDD'!$A$115:$I$121)</f>
        <v>28.7</v>
      </c>
      <c r="G183" s="62">
        <f>inter($B183/10,G$168,'[4]Clin-PDD'!$A$115:$I$121)</f>
        <v>30.9</v>
      </c>
      <c r="H183" s="62">
        <f>inter($B183/10,H$168,'[4]Clin-PDD'!$A$115:$I$121)</f>
        <v>32.9</v>
      </c>
      <c r="I183" s="62">
        <f>inter($B183/10,I$168,'[4]Clin-PDD'!$A$115:$I$121)</f>
        <v>34.700000000000003</v>
      </c>
      <c r="J183" s="63">
        <f>inter($B183/10,J$168,'[4]Clin-PDD'!$A$115:$I$121)</f>
        <v>37.6</v>
      </c>
    </row>
    <row r="184" spans="1:11" x14ac:dyDescent="0.25">
      <c r="A184" s="1"/>
      <c r="B184" s="23"/>
      <c r="C184" s="23"/>
      <c r="D184" s="23"/>
      <c r="E184" s="23"/>
      <c r="F184" s="23"/>
      <c r="G184" s="23"/>
      <c r="H184" s="23"/>
      <c r="I184" s="23"/>
      <c r="J184" s="23"/>
    </row>
    <row r="185" spans="1:11" ht="18" customHeight="1" x14ac:dyDescent="0.25">
      <c r="C185" s="1"/>
      <c r="D185" s="1"/>
      <c r="E185" s="1"/>
      <c r="F185" s="1"/>
    </row>
    <row r="186" spans="1:11" ht="18" x14ac:dyDescent="0.25">
      <c r="A186" s="202" t="s">
        <v>39</v>
      </c>
      <c r="B186" s="202"/>
      <c r="C186" s="81" t="s">
        <v>27</v>
      </c>
      <c r="D186" s="81"/>
      <c r="E186" s="81"/>
      <c r="F186" s="81"/>
      <c r="G186" s="81"/>
      <c r="H186" s="81"/>
      <c r="I186" s="81"/>
      <c r="J186" s="81"/>
      <c r="K186" s="81"/>
    </row>
    <row r="187" spans="1:11" x14ac:dyDescent="0.25">
      <c r="A187" s="1"/>
      <c r="B187" s="23"/>
      <c r="C187" s="46">
        <v>1</v>
      </c>
      <c r="D187" s="80">
        <v>1.5</v>
      </c>
      <c r="E187" s="47">
        <f>'[4]Clin-PDD'!D$127</f>
        <v>2</v>
      </c>
      <c r="F187" s="47">
        <f>'[4]Clin-PDD'!E$127</f>
        <v>3</v>
      </c>
      <c r="G187" s="47">
        <f>'[4]Clin-PDD'!F$127</f>
        <v>4</v>
      </c>
      <c r="H187" s="47">
        <f>'[4]Clin-PDD'!G$127</f>
        <v>5</v>
      </c>
      <c r="I187" s="47">
        <f>'[4]Clin-PDD'!H$127</f>
        <v>6</v>
      </c>
      <c r="J187" s="47">
        <f>'[4]Clin-PDD'!I$127</f>
        <v>10</v>
      </c>
      <c r="K187" s="48">
        <f>'[4]Clin-PDD'!J$127</f>
        <v>15</v>
      </c>
    </row>
    <row r="188" spans="1:11" ht="15" customHeight="1" x14ac:dyDescent="0.25">
      <c r="A188" s="203" t="s">
        <v>32</v>
      </c>
      <c r="B188" s="154">
        <v>0</v>
      </c>
      <c r="C188" s="49">
        <f>'[4]Clin-PDD'!B128</f>
        <v>100</v>
      </c>
      <c r="D188" s="50">
        <f>'[4]Clin-PDD'!C128</f>
        <v>100</v>
      </c>
      <c r="E188" s="50">
        <f>'[4]Clin-PDD'!D128</f>
        <v>100</v>
      </c>
      <c r="F188" s="50">
        <f>'[4]Clin-PDD'!E128</f>
        <v>100</v>
      </c>
      <c r="G188" s="50">
        <f>'[4]Clin-PDD'!F128</f>
        <v>100</v>
      </c>
      <c r="H188" s="50">
        <f>'[4]Clin-PDD'!G128</f>
        <v>100</v>
      </c>
      <c r="I188" s="50">
        <f>'[4]Clin-PDD'!H128</f>
        <v>100</v>
      </c>
      <c r="J188" s="50">
        <f>'[4]Clin-PDD'!I128</f>
        <v>100</v>
      </c>
      <c r="K188" s="51">
        <f>'[4]Clin-PDD'!J128</f>
        <v>100</v>
      </c>
    </row>
    <row r="189" spans="1:11" x14ac:dyDescent="0.25">
      <c r="A189" s="203"/>
      <c r="B189" s="155">
        <v>1</v>
      </c>
      <c r="C189" s="58">
        <f>inter($B189/10,C$187,'[4]Clin-PDD'!$A$127:$J$133)</f>
        <v>96.78</v>
      </c>
      <c r="D189" s="59">
        <f>inter($B189/10,D$187,'[4]Clin-PDD'!$A$127:$J$133)</f>
        <v>97.09</v>
      </c>
      <c r="E189" s="59">
        <f>inter($B189/10,E$187,'[4]Clin-PDD'!$A$127:$J$133)</f>
        <v>97.4</v>
      </c>
      <c r="F189" s="59">
        <f>inter($B189/10,F$187,'[4]Clin-PDD'!$A$127:$J$133)</f>
        <v>97.82</v>
      </c>
      <c r="G189" s="59">
        <f>inter($B189/10,G$187,'[4]Clin-PDD'!$A$127:$J$133)</f>
        <v>98.08</v>
      </c>
      <c r="H189" s="59">
        <f>inter($B189/10,H$187,'[4]Clin-PDD'!$A$127:$J$133)</f>
        <v>98.28</v>
      </c>
      <c r="I189" s="59">
        <f>inter($B189/10,I$187,'[4]Clin-PDD'!$A$127:$J$133)</f>
        <v>98.42</v>
      </c>
      <c r="J189" s="59">
        <f>inter($B189/10,J$187,'[4]Clin-PDD'!$A$127:$J$133)</f>
        <v>98.68</v>
      </c>
      <c r="K189" s="60">
        <f>inter($B189/10,K$187,'[4]Clin-PDD'!$A$127:$J$133)</f>
        <v>98.9</v>
      </c>
    </row>
    <row r="190" spans="1:11" x14ac:dyDescent="0.25">
      <c r="A190" s="203"/>
      <c r="B190" s="155">
        <v>2</v>
      </c>
      <c r="C190" s="58">
        <f>inter($B190/10,C$187,'[4]Clin-PDD'!$A$127:$J$133)</f>
        <v>93.56</v>
      </c>
      <c r="D190" s="59">
        <f>inter($B190/10,D$187,'[4]Clin-PDD'!$A$127:$J$133)</f>
        <v>94.18</v>
      </c>
      <c r="E190" s="59">
        <f>inter($B190/10,E$187,'[4]Clin-PDD'!$A$127:$J$133)</f>
        <v>94.8</v>
      </c>
      <c r="F190" s="59">
        <f>inter($B190/10,F$187,'[4]Clin-PDD'!$A$127:$J$133)</f>
        <v>95.64</v>
      </c>
      <c r="G190" s="59">
        <f>inter($B190/10,G$187,'[4]Clin-PDD'!$A$127:$J$133)</f>
        <v>96.16</v>
      </c>
      <c r="H190" s="59">
        <f>inter($B190/10,H$187,'[4]Clin-PDD'!$A$127:$J$133)</f>
        <v>96.56</v>
      </c>
      <c r="I190" s="59">
        <f>inter($B190/10,I$187,'[4]Clin-PDD'!$A$127:$J$133)</f>
        <v>96.84</v>
      </c>
      <c r="J190" s="59">
        <f>inter($B190/10,J$187,'[4]Clin-PDD'!$A$127:$J$133)</f>
        <v>97.36</v>
      </c>
      <c r="K190" s="60">
        <f>inter($B190/10,K$187,'[4]Clin-PDD'!$A$127:$J$133)</f>
        <v>97.8</v>
      </c>
    </row>
    <row r="191" spans="1:11" x14ac:dyDescent="0.25">
      <c r="A191" s="203"/>
      <c r="B191" s="155">
        <v>3</v>
      </c>
      <c r="C191" s="58">
        <f>inter($B191/10,C$187,'[4]Clin-PDD'!$A$127:$J$133)</f>
        <v>90.34</v>
      </c>
      <c r="D191" s="59">
        <f>inter($B191/10,D$187,'[4]Clin-PDD'!$A$127:$J$133)</f>
        <v>91.27</v>
      </c>
      <c r="E191" s="59">
        <f>inter($B191/10,E$187,'[4]Clin-PDD'!$A$127:$J$133)</f>
        <v>92.2</v>
      </c>
      <c r="F191" s="59">
        <f>inter($B191/10,F$187,'[4]Clin-PDD'!$A$127:$J$133)</f>
        <v>93.46</v>
      </c>
      <c r="G191" s="59">
        <f>inter($B191/10,G$187,'[4]Clin-PDD'!$A$127:$J$133)</f>
        <v>94.240000000000009</v>
      </c>
      <c r="H191" s="59">
        <f>inter($B191/10,H$187,'[4]Clin-PDD'!$A$127:$J$133)</f>
        <v>94.84</v>
      </c>
      <c r="I191" s="59">
        <f>inter($B191/10,I$187,'[4]Clin-PDD'!$A$127:$J$133)</f>
        <v>95.259999999999991</v>
      </c>
      <c r="J191" s="59">
        <f>inter($B191/10,J$187,'[4]Clin-PDD'!$A$127:$J$133)</f>
        <v>96.04</v>
      </c>
      <c r="K191" s="60">
        <f>inter($B191/10,K$187,'[4]Clin-PDD'!$A$127:$J$133)</f>
        <v>96.7</v>
      </c>
    </row>
    <row r="192" spans="1:11" x14ac:dyDescent="0.25">
      <c r="A192" s="203"/>
      <c r="B192" s="155">
        <v>4</v>
      </c>
      <c r="C192" s="58">
        <f>inter($B192/10,C$187,'[4]Clin-PDD'!$A$127:$J$133)</f>
        <v>87.12</v>
      </c>
      <c r="D192" s="59">
        <f>inter($B192/10,D$187,'[4]Clin-PDD'!$A$127:$J$133)</f>
        <v>88.36</v>
      </c>
      <c r="E192" s="59">
        <f>inter($B192/10,E$187,'[4]Clin-PDD'!$A$127:$J$133)</f>
        <v>89.6</v>
      </c>
      <c r="F192" s="59">
        <f>inter($B192/10,F$187,'[4]Clin-PDD'!$A$127:$J$133)</f>
        <v>91.28</v>
      </c>
      <c r="G192" s="59">
        <f>inter($B192/10,G$187,'[4]Clin-PDD'!$A$127:$J$133)</f>
        <v>92.320000000000007</v>
      </c>
      <c r="H192" s="59">
        <f>inter($B192/10,H$187,'[4]Clin-PDD'!$A$127:$J$133)</f>
        <v>93.12</v>
      </c>
      <c r="I192" s="59">
        <f>inter($B192/10,I$187,'[4]Clin-PDD'!$A$127:$J$133)</f>
        <v>93.679999999999993</v>
      </c>
      <c r="J192" s="59">
        <f>inter($B192/10,J$187,'[4]Clin-PDD'!$A$127:$J$133)</f>
        <v>94.72</v>
      </c>
      <c r="K192" s="60">
        <f>inter($B192/10,K$187,'[4]Clin-PDD'!$A$127:$J$133)</f>
        <v>95.6</v>
      </c>
    </row>
    <row r="193" spans="1:11" x14ac:dyDescent="0.25">
      <c r="A193" s="203"/>
      <c r="B193" s="155">
        <v>5</v>
      </c>
      <c r="C193" s="58">
        <f>inter($B193/10,C$187,'[4]Clin-PDD'!$A$127:$J$133)</f>
        <v>83.9</v>
      </c>
      <c r="D193" s="59">
        <f>inter($B193/10,D$187,'[4]Clin-PDD'!$A$127:$J$133)</f>
        <v>85.45</v>
      </c>
      <c r="E193" s="59">
        <f>inter($B193/10,E$187,'[4]Clin-PDD'!$A$127:$J$133)</f>
        <v>87</v>
      </c>
      <c r="F193" s="59">
        <f>inter($B193/10,F$187,'[4]Clin-PDD'!$A$127:$J$133)</f>
        <v>89.1</v>
      </c>
      <c r="G193" s="59">
        <f>inter($B193/10,G$187,'[4]Clin-PDD'!$A$127:$J$133)</f>
        <v>90.4</v>
      </c>
      <c r="H193" s="59">
        <f>inter($B193/10,H$187,'[4]Clin-PDD'!$A$127:$J$133)</f>
        <v>91.4</v>
      </c>
      <c r="I193" s="59">
        <f>inter($B193/10,I$187,'[4]Clin-PDD'!$A$127:$J$133)</f>
        <v>92.1</v>
      </c>
      <c r="J193" s="59">
        <f>inter($B193/10,J$187,'[4]Clin-PDD'!$A$127:$J$133)</f>
        <v>93.4</v>
      </c>
      <c r="K193" s="60">
        <f>inter($B193/10,K$187,'[4]Clin-PDD'!$A$127:$J$133)</f>
        <v>94.5</v>
      </c>
    </row>
    <row r="194" spans="1:11" x14ac:dyDescent="0.25">
      <c r="A194" s="203"/>
      <c r="B194" s="155">
        <v>6</v>
      </c>
      <c r="C194" s="58">
        <f>inter($B194/10,C$187,'[4]Clin-PDD'!$A$127:$J$133)</f>
        <v>81.14</v>
      </c>
      <c r="D194" s="59">
        <f>inter($B194/10,D$187,'[4]Clin-PDD'!$A$127:$J$133)</f>
        <v>82.88</v>
      </c>
      <c r="E194" s="59">
        <f>inter($B194/10,E$187,'[4]Clin-PDD'!$A$127:$J$133)</f>
        <v>84.62</v>
      </c>
      <c r="F194" s="59">
        <f>inter($B194/10,F$187,'[4]Clin-PDD'!$A$127:$J$133)</f>
        <v>87.02</v>
      </c>
      <c r="G194" s="59">
        <f>inter($B194/10,G$187,'[4]Clin-PDD'!$A$127:$J$133)</f>
        <v>88.48</v>
      </c>
      <c r="H194" s="59">
        <f>inter($B194/10,H$187,'[4]Clin-PDD'!$A$127:$J$133)</f>
        <v>89.58</v>
      </c>
      <c r="I194" s="59">
        <f>inter($B194/10,I$187,'[4]Clin-PDD'!$A$127:$J$133)</f>
        <v>90.38</v>
      </c>
      <c r="J194" s="59">
        <f>inter($B194/10,J$187,'[4]Clin-PDD'!$A$127:$J$133)</f>
        <v>91.98</v>
      </c>
      <c r="K194" s="60">
        <f>inter($B194/10,K$187,'[4]Clin-PDD'!$A$127:$J$133)</f>
        <v>93.22</v>
      </c>
    </row>
    <row r="195" spans="1:11" x14ac:dyDescent="0.25">
      <c r="A195" s="203"/>
      <c r="B195" s="155">
        <v>7</v>
      </c>
      <c r="C195" s="58">
        <f>inter($B195/10,C$187,'[4]Clin-PDD'!$A$127:$J$133)</f>
        <v>78.38</v>
      </c>
      <c r="D195" s="59">
        <f>inter($B195/10,D$187,'[4]Clin-PDD'!$A$127:$J$133)</f>
        <v>80.31</v>
      </c>
      <c r="E195" s="59">
        <f>inter($B195/10,E$187,'[4]Clin-PDD'!$A$127:$J$133)</f>
        <v>82.24</v>
      </c>
      <c r="F195" s="59">
        <f>inter($B195/10,F$187,'[4]Clin-PDD'!$A$127:$J$133)</f>
        <v>84.94</v>
      </c>
      <c r="G195" s="59">
        <f>inter($B195/10,G$187,'[4]Clin-PDD'!$A$127:$J$133)</f>
        <v>86.56</v>
      </c>
      <c r="H195" s="59">
        <f>inter($B195/10,H$187,'[4]Clin-PDD'!$A$127:$J$133)</f>
        <v>87.76</v>
      </c>
      <c r="I195" s="59">
        <f>inter($B195/10,I$187,'[4]Clin-PDD'!$A$127:$J$133)</f>
        <v>88.66</v>
      </c>
      <c r="J195" s="59">
        <f>inter($B195/10,J$187,'[4]Clin-PDD'!$A$127:$J$133)</f>
        <v>90.56</v>
      </c>
      <c r="K195" s="60">
        <f>inter($B195/10,K$187,'[4]Clin-PDD'!$A$127:$J$133)</f>
        <v>91.94</v>
      </c>
    </row>
    <row r="196" spans="1:11" x14ac:dyDescent="0.25">
      <c r="A196" s="203"/>
      <c r="B196" s="155">
        <v>8</v>
      </c>
      <c r="C196" s="58">
        <f>inter($B196/10,C$187,'[4]Clin-PDD'!$A$127:$J$133)</f>
        <v>75.62</v>
      </c>
      <c r="D196" s="59">
        <f>inter($B196/10,D$187,'[4]Clin-PDD'!$A$127:$J$133)</f>
        <v>77.739999999999995</v>
      </c>
      <c r="E196" s="59">
        <f>inter($B196/10,E$187,'[4]Clin-PDD'!$A$127:$J$133)</f>
        <v>79.86</v>
      </c>
      <c r="F196" s="59">
        <f>inter($B196/10,F$187,'[4]Clin-PDD'!$A$127:$J$133)</f>
        <v>82.86</v>
      </c>
      <c r="G196" s="59">
        <f>inter($B196/10,G$187,'[4]Clin-PDD'!$A$127:$J$133)</f>
        <v>84.64</v>
      </c>
      <c r="H196" s="59">
        <f>inter($B196/10,H$187,'[4]Clin-PDD'!$A$127:$J$133)</f>
        <v>85.94</v>
      </c>
      <c r="I196" s="59">
        <f>inter($B196/10,I$187,'[4]Clin-PDD'!$A$127:$J$133)</f>
        <v>86.94</v>
      </c>
      <c r="J196" s="59">
        <f>inter($B196/10,J$187,'[4]Clin-PDD'!$A$127:$J$133)</f>
        <v>89.14</v>
      </c>
      <c r="K196" s="60">
        <f>inter($B196/10,K$187,'[4]Clin-PDD'!$A$127:$J$133)</f>
        <v>90.66</v>
      </c>
    </row>
    <row r="197" spans="1:11" x14ac:dyDescent="0.25">
      <c r="A197" s="203"/>
      <c r="B197" s="155">
        <v>9</v>
      </c>
      <c r="C197" s="58">
        <f>inter($B197/10,C$187,'[4]Clin-PDD'!$A$127:$J$133)</f>
        <v>72.86</v>
      </c>
      <c r="D197" s="59">
        <f>inter($B197/10,D$187,'[4]Clin-PDD'!$A$127:$J$133)</f>
        <v>75.169999999999987</v>
      </c>
      <c r="E197" s="59">
        <f>inter($B197/10,E$187,'[4]Clin-PDD'!$A$127:$J$133)</f>
        <v>77.47999999999999</v>
      </c>
      <c r="F197" s="59">
        <f>inter($B197/10,F$187,'[4]Clin-PDD'!$A$127:$J$133)</f>
        <v>80.78</v>
      </c>
      <c r="G197" s="59">
        <f>inter($B197/10,G$187,'[4]Clin-PDD'!$A$127:$J$133)</f>
        <v>82.72</v>
      </c>
      <c r="H197" s="59">
        <f>inter($B197/10,H$187,'[4]Clin-PDD'!$A$127:$J$133)</f>
        <v>84.12</v>
      </c>
      <c r="I197" s="59">
        <f>inter($B197/10,I$187,'[4]Clin-PDD'!$A$127:$J$133)</f>
        <v>85.22</v>
      </c>
      <c r="J197" s="59">
        <f>inter($B197/10,J$187,'[4]Clin-PDD'!$A$127:$J$133)</f>
        <v>87.72</v>
      </c>
      <c r="K197" s="60">
        <f>inter($B197/10,K$187,'[4]Clin-PDD'!$A$127:$J$133)</f>
        <v>89.38</v>
      </c>
    </row>
    <row r="198" spans="1:11" x14ac:dyDescent="0.25">
      <c r="A198" s="203"/>
      <c r="B198" s="155">
        <v>10</v>
      </c>
      <c r="C198" s="58">
        <f>inter($B198/10,C$187,'[4]Clin-PDD'!$A$127:$J$133)</f>
        <v>70.099999999999994</v>
      </c>
      <c r="D198" s="59">
        <f>inter($B198/10,D$187,'[4]Clin-PDD'!$A$127:$J$133)</f>
        <v>72.599999999999994</v>
      </c>
      <c r="E198" s="59">
        <f>inter($B198/10,E$187,'[4]Clin-PDD'!$A$127:$J$133)</f>
        <v>75.099999999999994</v>
      </c>
      <c r="F198" s="59">
        <f>inter($B198/10,F$187,'[4]Clin-PDD'!$A$127:$J$133)</f>
        <v>78.7</v>
      </c>
      <c r="G198" s="59">
        <f>inter($B198/10,G$187,'[4]Clin-PDD'!$A$127:$J$133)</f>
        <v>80.8</v>
      </c>
      <c r="H198" s="59">
        <f>inter($B198/10,H$187,'[4]Clin-PDD'!$A$127:$J$133)</f>
        <v>82.3</v>
      </c>
      <c r="I198" s="59">
        <f>inter($B198/10,I$187,'[4]Clin-PDD'!$A$127:$J$133)</f>
        <v>83.5</v>
      </c>
      <c r="J198" s="59">
        <f>inter($B198/10,J$187,'[4]Clin-PDD'!$A$127:$J$133)</f>
        <v>86.3</v>
      </c>
      <c r="K198" s="60">
        <f>inter($B198/10,K$187,'[4]Clin-PDD'!$A$127:$J$133)</f>
        <v>88.1</v>
      </c>
    </row>
    <row r="199" spans="1:11" x14ac:dyDescent="0.25">
      <c r="A199" s="203"/>
      <c r="B199" s="156">
        <v>15</v>
      </c>
      <c r="C199" s="58">
        <f>inter($B199/10,C$187,'[4]Clin-PDD'!$A$127:$J$133)</f>
        <v>60.3</v>
      </c>
      <c r="D199" s="59">
        <f>inter($B199/10,D$187,'[4]Clin-PDD'!$A$127:$J$133)</f>
        <v>62.824999999999996</v>
      </c>
      <c r="E199" s="59">
        <f>inter($B199/10,E$187,'[4]Clin-PDD'!$A$127:$J$133)</f>
        <v>65.349999999999994</v>
      </c>
      <c r="F199" s="59">
        <f>inter($B199/10,F$187,'[4]Clin-PDD'!$A$127:$J$133)</f>
        <v>69.099999999999994</v>
      </c>
      <c r="G199" s="59">
        <f>inter($B199/10,G$187,'[4]Clin-PDD'!$A$127:$J$133)</f>
        <v>71.7</v>
      </c>
      <c r="H199" s="59">
        <f>inter($B199/10,H$187,'[4]Clin-PDD'!$A$127:$J$133)</f>
        <v>73.650000000000006</v>
      </c>
      <c r="I199" s="59">
        <f>inter($B199/10,I$187,'[4]Clin-PDD'!$A$127:$J$133)</f>
        <v>75.2</v>
      </c>
      <c r="J199" s="59">
        <f>inter($B199/10,J$187,'[4]Clin-PDD'!$A$127:$J$133)</f>
        <v>79.099999999999994</v>
      </c>
      <c r="K199" s="60">
        <f>inter($B199/10,K$187,'[4]Clin-PDD'!$A$127:$J$133)</f>
        <v>81.8</v>
      </c>
    </row>
    <row r="200" spans="1:11" x14ac:dyDescent="0.25">
      <c r="A200" s="203"/>
      <c r="B200" s="156">
        <v>20</v>
      </c>
      <c r="C200" s="58">
        <f>inter($B200/10,C$187,'[4]Clin-PDD'!$A$127:$J$133)</f>
        <v>50.5</v>
      </c>
      <c r="D200" s="59">
        <f>inter($B200/10,D$187,'[4]Clin-PDD'!$A$127:$J$133)</f>
        <v>53.05</v>
      </c>
      <c r="E200" s="59">
        <f>inter($B200/10,E$187,'[4]Clin-PDD'!$A$127:$J$133)</f>
        <v>55.6</v>
      </c>
      <c r="F200" s="59">
        <f>inter($B200/10,F$187,'[4]Clin-PDD'!$A$127:$J$133)</f>
        <v>59.5</v>
      </c>
      <c r="G200" s="59">
        <f>inter($B200/10,G$187,'[4]Clin-PDD'!$A$127:$J$133)</f>
        <v>62.6</v>
      </c>
      <c r="H200" s="59">
        <f>inter($B200/10,H$187,'[4]Clin-PDD'!$A$127:$J$133)</f>
        <v>65</v>
      </c>
      <c r="I200" s="59">
        <f>inter($B200/10,I$187,'[4]Clin-PDD'!$A$127:$J$133)</f>
        <v>66.900000000000006</v>
      </c>
      <c r="J200" s="59">
        <f>inter($B200/10,J$187,'[4]Clin-PDD'!$A$127:$J$133)</f>
        <v>71.900000000000006</v>
      </c>
      <c r="K200" s="60">
        <f>inter($B200/10,K$187,'[4]Clin-PDD'!$A$127:$J$133)</f>
        <v>75.5</v>
      </c>
    </row>
    <row r="201" spans="1:11" x14ac:dyDescent="0.25">
      <c r="A201" s="203"/>
      <c r="B201" s="157">
        <v>30</v>
      </c>
      <c r="C201" s="58">
        <f>inter($B201/10,C$187,'[4]Clin-PDD'!$A$127:$J$133)</f>
        <v>36</v>
      </c>
      <c r="D201" s="59">
        <f>inter($B201/10,D$187,'[4]Clin-PDD'!$A$127:$J$133)</f>
        <v>38.25</v>
      </c>
      <c r="E201" s="59">
        <f>inter($B201/10,E$187,'[4]Clin-PDD'!$A$127:$J$133)</f>
        <v>40.5</v>
      </c>
      <c r="F201" s="59">
        <f>inter($B201/10,F$187,'[4]Clin-PDD'!$A$127:$J$133)</f>
        <v>45.1</v>
      </c>
      <c r="G201" s="59">
        <f>inter($B201/10,G$187,'[4]Clin-PDD'!$A$127:$J$133)</f>
        <v>48</v>
      </c>
      <c r="H201" s="59">
        <f>inter($B201/10,H$187,'[4]Clin-PDD'!$A$127:$J$133)</f>
        <v>50.5</v>
      </c>
      <c r="I201" s="59">
        <f>inter($B201/10,I$187,'[4]Clin-PDD'!$A$127:$J$133)</f>
        <v>52.4</v>
      </c>
      <c r="J201" s="59">
        <f>inter($B201/10,J$187,'[4]Clin-PDD'!$A$127:$J$133)</f>
        <v>58.8</v>
      </c>
      <c r="K201" s="60">
        <f>inter($B201/10,K$187,'[4]Clin-PDD'!$A$127:$J$133)</f>
        <v>63</v>
      </c>
    </row>
    <row r="202" spans="1:11" x14ac:dyDescent="0.25">
      <c r="A202" s="203"/>
      <c r="B202" s="150">
        <v>40</v>
      </c>
      <c r="C202" s="61">
        <f>inter($B202/10,C$187,'[4]Clin-PDD'!$A$127:$J$133)</f>
        <v>26.7</v>
      </c>
      <c r="D202" s="62">
        <f>inter($B202/10,D$187,'[4]Clin-PDD'!$A$127:$J$133)</f>
        <v>28.75</v>
      </c>
      <c r="E202" s="62">
        <f>inter($B202/10,E$187,'[4]Clin-PDD'!$A$127:$J$133)</f>
        <v>30.8</v>
      </c>
      <c r="F202" s="62">
        <f>inter($B202/10,F$187,'[4]Clin-PDD'!$A$127:$J$133)</f>
        <v>34.1</v>
      </c>
      <c r="G202" s="62">
        <f>inter($B202/10,G$187,'[4]Clin-PDD'!$A$127:$J$133)</f>
        <v>36.700000000000003</v>
      </c>
      <c r="H202" s="62">
        <f>inter($B202/10,H$187,'[4]Clin-PDD'!$A$127:$J$133)</f>
        <v>39</v>
      </c>
      <c r="I202" s="62">
        <f>inter($B202/10,I$187,'[4]Clin-PDD'!$A$127:$J$133)</f>
        <v>40.9</v>
      </c>
      <c r="J202" s="62">
        <f>inter($B202/10,J$187,'[4]Clin-PDD'!$A$127:$J$133)</f>
        <v>46.9</v>
      </c>
      <c r="K202" s="63">
        <f>inter($B202/10,K$187,'[4]Clin-PDD'!$A$127:$J$133)</f>
        <v>51.4</v>
      </c>
    </row>
    <row r="204" spans="1:11" x14ac:dyDescent="0.25">
      <c r="A204" s="82" t="s">
        <v>45</v>
      </c>
    </row>
  </sheetData>
  <sheetProtection sheet="1" objects="1" scenarios="1"/>
  <mergeCells count="26">
    <mergeCell ref="A3:J3"/>
    <mergeCell ref="A8:A18"/>
    <mergeCell ref="A23:A33"/>
    <mergeCell ref="A38:J38"/>
    <mergeCell ref="A43:A56"/>
    <mergeCell ref="A6:B6"/>
    <mergeCell ref="A21:B21"/>
    <mergeCell ref="A41:B41"/>
    <mergeCell ref="A61:A74"/>
    <mergeCell ref="A85:A98"/>
    <mergeCell ref="A103:A116"/>
    <mergeCell ref="A83:B83"/>
    <mergeCell ref="C59:J59"/>
    <mergeCell ref="A59:B59"/>
    <mergeCell ref="A186:B186"/>
    <mergeCell ref="A188:A202"/>
    <mergeCell ref="A80:K80"/>
    <mergeCell ref="A121:K121"/>
    <mergeCell ref="A164:K164"/>
    <mergeCell ref="A169:A183"/>
    <mergeCell ref="A124:B124"/>
    <mergeCell ref="A167:B167"/>
    <mergeCell ref="A101:B101"/>
    <mergeCell ref="A143:B143"/>
    <mergeCell ref="A126:A140"/>
    <mergeCell ref="A145:A159"/>
  </mergeCells>
  <pageMargins left="0.9055118110236221" right="0.31496062992125984" top="1.5354330708661419" bottom="0.74803149606299213" header="0.51181102362204722" footer="0.31496062992125984"/>
  <pageSetup paperSize="9" scale="87" orientation="portrait" r:id="rId1"/>
  <headerFooter>
    <oddHeader xml:space="preserve">&amp;L&amp;"Arial Rounded MT Bold,Regular"&amp;K4D4D4D
&amp;14&amp;K660033Andrew Love Cancer Centre&amp;"-,Regular"&amp;11&amp;K01+000
&amp;"Arial Rounded MT Bold,Regular"&amp;12&amp;K4D4D4DSuperficial RT&amp;"-,Regular"&amp;11&amp;K01+000
</oddHeader>
    <oddFooter>&amp;LF.Nelli 12-8-2015&amp;Rpage &amp;P of &amp;N</oddFooter>
  </headerFooter>
  <rowBreaks count="4" manualBreakCount="4">
    <brk id="35" max="16383" man="1"/>
    <brk id="77" max="16383" man="1"/>
    <brk id="118" max="16383" man="1"/>
    <brk id="161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162"/>
  <sheetViews>
    <sheetView zoomScale="115" zoomScaleNormal="115" workbookViewId="0">
      <selection activeCell="A2" sqref="A2"/>
    </sheetView>
  </sheetViews>
  <sheetFormatPr defaultRowHeight="15" x14ac:dyDescent="0.25"/>
  <cols>
    <col min="1" max="1" width="10.7109375" style="31" customWidth="1"/>
    <col min="2" max="2" width="6.5703125" style="31" customWidth="1"/>
    <col min="3" max="3" width="9.5703125" style="31" bestFit="1" customWidth="1"/>
    <col min="4" max="11" width="9.42578125" style="31" bestFit="1" customWidth="1"/>
    <col min="12" max="16384" width="9.140625" style="31"/>
  </cols>
  <sheetData>
    <row r="1" spans="1:10" ht="18" x14ac:dyDescent="0.25">
      <c r="A1" s="2" t="s">
        <v>33</v>
      </c>
    </row>
    <row r="3" spans="1:10" ht="18.75" x14ac:dyDescent="0.3">
      <c r="A3" s="215" t="s">
        <v>24</v>
      </c>
      <c r="B3" s="216"/>
      <c r="C3" s="216"/>
      <c r="D3" s="216"/>
      <c r="E3" s="216"/>
      <c r="F3" s="216"/>
      <c r="G3" s="216"/>
      <c r="H3" s="216"/>
      <c r="I3" s="216"/>
      <c r="J3" s="217"/>
    </row>
    <row r="5" spans="1:10" ht="18" x14ac:dyDescent="0.25">
      <c r="A5" s="32" t="s">
        <v>25</v>
      </c>
      <c r="B5" s="33">
        <v>15</v>
      </c>
      <c r="C5" s="34" t="s">
        <v>26</v>
      </c>
      <c r="D5" s="1"/>
      <c r="E5" s="1"/>
      <c r="F5" s="1"/>
    </row>
    <row r="6" spans="1:10" x14ac:dyDescent="0.25">
      <c r="A6" s="1"/>
      <c r="B6" s="1"/>
      <c r="C6" s="77" t="s">
        <v>27</v>
      </c>
      <c r="D6" s="77"/>
      <c r="E6" s="77"/>
      <c r="F6" s="77"/>
      <c r="G6" s="77"/>
    </row>
    <row r="7" spans="1:10" x14ac:dyDescent="0.25">
      <c r="A7" s="1"/>
      <c r="B7" s="23"/>
      <c r="C7" s="75">
        <v>0.8</v>
      </c>
      <c r="D7" s="47">
        <v>1.6</v>
      </c>
      <c r="E7" s="47">
        <v>2</v>
      </c>
      <c r="F7" s="47">
        <v>5</v>
      </c>
      <c r="G7" s="48">
        <v>8</v>
      </c>
      <c r="H7" s="23"/>
    </row>
    <row r="8" spans="1:10" x14ac:dyDescent="0.25">
      <c r="A8" s="221" t="s">
        <v>32</v>
      </c>
      <c r="B8" s="43">
        <v>0</v>
      </c>
      <c r="C8" s="49">
        <f>'[4]Clin-PDD'!B6</f>
        <v>100</v>
      </c>
      <c r="D8" s="50">
        <f>'[4]Clin-PDD'!C6</f>
        <v>100</v>
      </c>
      <c r="E8" s="50">
        <f>'[4]Clin-PDD'!D6</f>
        <v>100</v>
      </c>
      <c r="F8" s="50">
        <f>'[4]Clin-PDD'!E6</f>
        <v>100</v>
      </c>
      <c r="G8" s="51">
        <f>'[4]Clin-PDD'!I6</f>
        <v>0</v>
      </c>
    </row>
    <row r="9" spans="1:10" x14ac:dyDescent="0.25">
      <c r="A9" s="221"/>
      <c r="B9" s="68">
        <v>0.4</v>
      </c>
      <c r="C9" s="52">
        <f>inter($B9/10,C$7,'[4]Clin-PDD'!$A$5:$G$13)</f>
        <v>90.248968760390497</v>
      </c>
      <c r="D9" s="53">
        <f>inter($B9/10,D$7,'[4]Clin-PDD'!$A$5:$G$13)</f>
        <v>90.248881484165139</v>
      </c>
      <c r="E9" s="53">
        <f>inter($B9/10,E$7,'[4]Clin-PDD'!$A$5:$G$13)</f>
        <v>90.248837846052453</v>
      </c>
      <c r="F9" s="53">
        <f>inter($B9/10,F$7,'[4]Clin-PDD'!$A$5:$G$13)</f>
        <v>90.248977887428822</v>
      </c>
      <c r="G9" s="54">
        <f>inter($B9/10,G$7,'[4]Clin-PDD'!$A$5:$G$13)</f>
        <v>90.249151716954287</v>
      </c>
    </row>
    <row r="10" spans="1:10" x14ac:dyDescent="0.25">
      <c r="A10" s="221"/>
      <c r="B10" s="67">
        <v>0.8</v>
      </c>
      <c r="C10" s="64">
        <f>inter($B10/10,C$7,'[4]Clin-PDD'!$A$5:$G$13)</f>
        <v>80.497937520780994</v>
      </c>
      <c r="D10" s="65">
        <f>inter($B10/10,D$7,'[4]Clin-PDD'!$A$5:$G$13)</f>
        <v>80.497762968330264</v>
      </c>
      <c r="E10" s="65">
        <f>inter($B10/10,E$7,'[4]Clin-PDD'!$A$5:$G$13)</f>
        <v>80.497675692104906</v>
      </c>
      <c r="F10" s="65">
        <f>inter($B10/10,F$7,'[4]Clin-PDD'!$A$5:$G$13)</f>
        <v>80.49795577485763</v>
      </c>
      <c r="G10" s="66">
        <f>inter($B10/10,G$7,'[4]Clin-PDD'!$A$5:$G$13)</f>
        <v>80.498303433908589</v>
      </c>
    </row>
    <row r="11" spans="1:10" x14ac:dyDescent="0.25">
      <c r="A11" s="221"/>
      <c r="B11" s="44">
        <v>1</v>
      </c>
      <c r="C11" s="58">
        <f>inter($B11/10,C$7,'[4]Clin-PDD'!$A$5:$G$13)</f>
        <v>75.622421900976235</v>
      </c>
      <c r="D11" s="59">
        <f>inter($B11/10,D$7,'[4]Clin-PDD'!$A$5:$G$13)</f>
        <v>75.622203710412833</v>
      </c>
      <c r="E11" s="59">
        <f>inter($B11/10,E$7,'[4]Clin-PDD'!$A$5:$G$13)</f>
        <v>75.622094615131132</v>
      </c>
      <c r="F11" s="59">
        <f>inter($B11/10,F$7,'[4]Clin-PDD'!$A$5:$G$13)</f>
        <v>75.622444718572041</v>
      </c>
      <c r="G11" s="60">
        <f>inter($B11/10,G$7,'[4]Clin-PDD'!$A$5:$G$13)</f>
        <v>75.622879292385733</v>
      </c>
    </row>
    <row r="12" spans="1:10" x14ac:dyDescent="0.25">
      <c r="A12" s="221"/>
      <c r="B12" s="44">
        <v>1.5</v>
      </c>
      <c r="C12" s="58">
        <f>inter($B12/10,C$7,'[4]Clin-PDD'!$A$5:$G$13)</f>
        <v>68.406950762340017</v>
      </c>
      <c r="D12" s="59">
        <f>inter($B12/10,D$7,'[4]Clin-PDD'!$A$5:$G$13)</f>
        <v>68.406663137885374</v>
      </c>
      <c r="E12" s="59">
        <f>inter($B12/10,E$7,'[4]Clin-PDD'!$A$5:$G$13)</f>
        <v>68.406519325658067</v>
      </c>
      <c r="F12" s="59">
        <f>inter($B12/10,F$7,'[4]Clin-PDD'!$A$5:$G$13)</f>
        <v>68.406967345622732</v>
      </c>
      <c r="G12" s="60">
        <f>inter($B12/10,G$7,'[4]Clin-PDD'!$A$5:$G$13)</f>
        <v>68.407531501819179</v>
      </c>
    </row>
    <row r="13" spans="1:10" x14ac:dyDescent="0.25">
      <c r="A13" s="221"/>
      <c r="B13" s="44">
        <v>2</v>
      </c>
      <c r="C13" s="58">
        <f>inter($B13/10,C$7,'[4]Clin-PDD'!$A$5:$G$13)</f>
        <v>61.191479623703785</v>
      </c>
      <c r="D13" s="59">
        <f>inter($B13/10,D$7,'[4]Clin-PDD'!$A$5:$G$13)</f>
        <v>61.191122565357922</v>
      </c>
      <c r="E13" s="59">
        <f>inter($B13/10,E$7,'[4]Clin-PDD'!$A$5:$G$13)</f>
        <v>61.190944036184987</v>
      </c>
      <c r="F13" s="59">
        <f>inter($B13/10,F$7,'[4]Clin-PDD'!$A$5:$G$13)</f>
        <v>61.191489972673423</v>
      </c>
      <c r="G13" s="60">
        <f>inter($B13/10,G$7,'[4]Clin-PDD'!$A$5:$G$13)</f>
        <v>61.192183711252632</v>
      </c>
    </row>
    <row r="14" spans="1:10" x14ac:dyDescent="0.25">
      <c r="A14" s="221"/>
      <c r="B14" s="44">
        <v>5</v>
      </c>
      <c r="C14" s="58">
        <f>inter($B14/10,C$7,'[4]Clin-PDD'!$A$5:$G$13)</f>
        <v>37.760181745537025</v>
      </c>
      <c r="D14" s="59">
        <f>inter($B14/10,D$7,'[4]Clin-PDD'!$A$5:$G$13)</f>
        <v>37.760213279990019</v>
      </c>
      <c r="E14" s="59">
        <f>inter($B14/10,E$7,'[4]Clin-PDD'!$A$5:$G$13)</f>
        <v>37.760229047216527</v>
      </c>
      <c r="F14" s="59">
        <f>inter($B14/10,F$7,'[4]Clin-PDD'!$A$5:$G$13)</f>
        <v>37.760944436312364</v>
      </c>
      <c r="G14" s="60">
        <f>inter($B14/10,G$7,'[4]Clin-PDD'!$A$5:$G$13)</f>
        <v>37.761676702426008</v>
      </c>
    </row>
    <row r="15" spans="1:10" x14ac:dyDescent="0.25">
      <c r="A15" s="221"/>
      <c r="B15" s="45">
        <v>10</v>
      </c>
      <c r="C15" s="61">
        <f>inter($B15/10,C$7,'[4]Clin-PDD'!$A$5:$G$13)</f>
        <v>19.881775498474902</v>
      </c>
      <c r="D15" s="62">
        <f>inter($B15/10,D$7,'[4]Clin-PDD'!$A$5:$G$13)</f>
        <v>19.881243383951542</v>
      </c>
      <c r="E15" s="62">
        <f>inter($B15/10,E$7,'[4]Clin-PDD'!$A$5:$G$13)</f>
        <v>19.880977326689862</v>
      </c>
      <c r="F15" s="62">
        <f>inter($B15/10,F$7,'[4]Clin-PDD'!$A$5:$G$13)</f>
        <v>19.881722978276617</v>
      </c>
      <c r="G15" s="63">
        <f>inter($B15/10,G$7,'[4]Clin-PDD'!$A$5:$G$13)</f>
        <v>19.882712986480307</v>
      </c>
    </row>
    <row r="16" spans="1:10" x14ac:dyDescent="0.25">
      <c r="A16" s="1"/>
      <c r="B16" s="23"/>
      <c r="C16" s="23"/>
      <c r="D16" s="23"/>
      <c r="E16" s="23"/>
      <c r="F16" s="23"/>
      <c r="G16" s="23"/>
      <c r="H16" s="23"/>
      <c r="I16" s="23"/>
      <c r="J16" s="23"/>
    </row>
    <row r="17" spans="1:10" ht="18" x14ac:dyDescent="0.25">
      <c r="A17" s="40" t="s">
        <v>25</v>
      </c>
      <c r="B17" s="41">
        <v>25</v>
      </c>
      <c r="C17" s="42" t="s">
        <v>26</v>
      </c>
      <c r="D17" s="1"/>
      <c r="E17" s="1"/>
      <c r="F17" s="1"/>
    </row>
    <row r="18" spans="1:10" x14ac:dyDescent="0.25">
      <c r="A18" s="1"/>
      <c r="B18" s="1"/>
      <c r="C18" s="77" t="s">
        <v>27</v>
      </c>
      <c r="D18" s="77"/>
      <c r="E18" s="77"/>
      <c r="F18" s="77"/>
      <c r="G18" s="77"/>
      <c r="H18" s="77"/>
      <c r="I18" s="77"/>
    </row>
    <row r="19" spans="1:10" x14ac:dyDescent="0.25">
      <c r="A19" s="1"/>
      <c r="B19" s="23"/>
      <c r="C19" s="76">
        <v>0.8</v>
      </c>
      <c r="D19" s="35">
        <v>1.6</v>
      </c>
      <c r="E19" s="35">
        <v>2</v>
      </c>
      <c r="F19" s="35">
        <v>5</v>
      </c>
      <c r="G19" s="35">
        <v>8</v>
      </c>
      <c r="H19" s="35">
        <v>10</v>
      </c>
      <c r="I19" s="36">
        <v>15</v>
      </c>
    </row>
    <row r="20" spans="1:10" x14ac:dyDescent="0.25">
      <c r="A20" s="221" t="s">
        <v>32</v>
      </c>
      <c r="B20" s="37">
        <f>'[4]Clin-PDD'!$A19</f>
        <v>0</v>
      </c>
      <c r="C20" s="49">
        <f>'[4]Clin-PDD'!B19</f>
        <v>100</v>
      </c>
      <c r="D20" s="50">
        <f>'[4]Clin-PDD'!C19</f>
        <v>100</v>
      </c>
      <c r="E20" s="50">
        <f>'[4]Clin-PDD'!D19</f>
        <v>100</v>
      </c>
      <c r="F20" s="50">
        <f>'[4]Clin-PDD'!E19</f>
        <v>100</v>
      </c>
      <c r="G20" s="50">
        <f>'[4]Clin-PDD'!I19</f>
        <v>0</v>
      </c>
      <c r="H20" s="50">
        <f>'[4]Clin-PDD'!J19</f>
        <v>0</v>
      </c>
      <c r="I20" s="51">
        <f>'[4]Clin-PDD'!K19</f>
        <v>0</v>
      </c>
    </row>
    <row r="21" spans="1:10" x14ac:dyDescent="0.25">
      <c r="A21" s="221"/>
      <c r="B21" s="69">
        <v>0.45</v>
      </c>
      <c r="C21" s="52">
        <f>inter($B21/10,C$19,'[4]Clin-PDD'!$A$18:$H$26)</f>
        <v>89.885462126512081</v>
      </c>
      <c r="D21" s="53">
        <f>inter($B21/10,D$19,'[4]Clin-PDD'!$A$18:$H$26)</f>
        <v>89.885412531781199</v>
      </c>
      <c r="E21" s="53">
        <f>inter($B21/10,E$19,'[4]Clin-PDD'!$A$18:$H$26)</f>
        <v>89.885387734415758</v>
      </c>
      <c r="F21" s="53">
        <f>inter($B21/10,F$19,'[4]Clin-PDD'!$A$18:$H$26)</f>
        <v>89.885390260922435</v>
      </c>
      <c r="G21" s="53">
        <f>inter($B21/10,G$19,'[4]Clin-PDD'!$A$18:$H$26)</f>
        <v>89.885431784463336</v>
      </c>
      <c r="H21" s="53">
        <f>inter($B21/10,H$19,'[4]Clin-PDD'!$A$18:$H$26)</f>
        <v>89.885434908450819</v>
      </c>
      <c r="I21" s="54">
        <f>inter($B21/10,I$19,'[4]Clin-PDD'!$A$18:$H$26)</f>
        <v>89.885473106104413</v>
      </c>
    </row>
    <row r="22" spans="1:10" x14ac:dyDescent="0.25">
      <c r="A22" s="221"/>
      <c r="B22" s="72">
        <v>0.87</v>
      </c>
      <c r="C22" s="55">
        <f>inter($B22/10,C$19,'[4]Clin-PDD'!$A$18:$H$26)</f>
        <v>80.445226777923352</v>
      </c>
      <c r="D22" s="56">
        <f>inter($B22/10,D$19,'[4]Clin-PDD'!$A$18:$H$26)</f>
        <v>80.44513089477698</v>
      </c>
      <c r="E22" s="56">
        <f>inter($B22/10,E$19,'[4]Clin-PDD'!$A$18:$H$26)</f>
        <v>80.445082953203794</v>
      </c>
      <c r="F22" s="56">
        <f>inter($B22/10,F$19,'[4]Clin-PDD'!$A$18:$H$26)</f>
        <v>80.445087837783362</v>
      </c>
      <c r="G22" s="56">
        <f>inter($B22/10,G$19,'[4]Clin-PDD'!$A$18:$H$26)</f>
        <v>80.445168116629119</v>
      </c>
      <c r="H22" s="56">
        <f>inter($B22/10,H$19,'[4]Clin-PDD'!$A$18:$H$26)</f>
        <v>80.445174156338254</v>
      </c>
      <c r="I22" s="57">
        <f>inter($B22/10,I$19,'[4]Clin-PDD'!$A$18:$H$26)</f>
        <v>80.445248005135198</v>
      </c>
    </row>
    <row r="23" spans="1:10" x14ac:dyDescent="0.25">
      <c r="A23" s="221"/>
      <c r="B23" s="38">
        <v>1</v>
      </c>
      <c r="C23" s="58">
        <f>inter($B23/10,C$19,'[4]Clin-PDD'!$A$18:$H$26)</f>
        <v>77.523249170026844</v>
      </c>
      <c r="D23" s="59">
        <f>inter($B23/10,D$19,'[4]Clin-PDD'!$A$18:$H$26)</f>
        <v>77.523138959513773</v>
      </c>
      <c r="E23" s="59">
        <f>inter($B23/10,E$19,'[4]Clin-PDD'!$A$18:$H$26)</f>
        <v>77.523083854257237</v>
      </c>
      <c r="F23" s="59">
        <f>inter($B23/10,F$19,'[4]Clin-PDD'!$A$18:$H$26)</f>
        <v>77.523089468716506</v>
      </c>
      <c r="G23" s="59">
        <f>inter($B23/10,G$19,'[4]Clin-PDD'!$A$18:$H$26)</f>
        <v>77.523181743251854</v>
      </c>
      <c r="H23" s="59">
        <f>inter($B23/10,H$19,'[4]Clin-PDD'!$A$18:$H$26)</f>
        <v>77.523188685446257</v>
      </c>
      <c r="I23" s="60">
        <f>inter($B23/10,I$19,'[4]Clin-PDD'!$A$18:$H$26)</f>
        <v>77.523273569120917</v>
      </c>
    </row>
    <row r="24" spans="1:10" x14ac:dyDescent="0.25">
      <c r="A24" s="221"/>
      <c r="B24" s="38">
        <v>1.5</v>
      </c>
      <c r="C24" s="58">
        <f>inter($B24/10,C$19,'[4]Clin-PDD'!$A$18:$H$26)</f>
        <v>70.530197770677091</v>
      </c>
      <c r="D24" s="59">
        <f>inter($B24/10,D$19,'[4]Clin-PDD'!$A$18:$H$26)</f>
        <v>70.530052115758537</v>
      </c>
      <c r="E24" s="59">
        <f>inter($B24/10,E$19,'[4]Clin-PDD'!$A$18:$H$26)</f>
        <v>70.529979288299259</v>
      </c>
      <c r="F24" s="59">
        <f>inter($B24/10,F$19,'[4]Clin-PDD'!$A$18:$H$26)</f>
        <v>70.529985401274004</v>
      </c>
      <c r="G24" s="59">
        <f>inter($B24/10,G$19,'[4]Clin-PDD'!$A$18:$H$26)</f>
        <v>70.530106454502885</v>
      </c>
      <c r="H24" s="59">
        <f>inter($B24/10,H$19,'[4]Clin-PDD'!$A$18:$H$26)</f>
        <v>70.530115503675205</v>
      </c>
      <c r="I24" s="60">
        <f>inter($B24/10,I$19,'[4]Clin-PDD'!$A$18:$H$26)</f>
        <v>70.530226929141577</v>
      </c>
    </row>
    <row r="25" spans="1:10" x14ac:dyDescent="0.25">
      <c r="A25" s="221"/>
      <c r="B25" s="38">
        <v>2</v>
      </c>
      <c r="C25" s="58">
        <f>inter($B25/10,C$19,'[4]Clin-PDD'!$A$18:$H$26)</f>
        <v>63.537146371327339</v>
      </c>
      <c r="D25" s="59">
        <f>inter($B25/10,D$19,'[4]Clin-PDD'!$A$18:$H$26)</f>
        <v>63.536965272003293</v>
      </c>
      <c r="E25" s="59">
        <f>inter($B25/10,E$19,'[4]Clin-PDD'!$A$18:$H$26)</f>
        <v>63.536874722341267</v>
      </c>
      <c r="F25" s="59">
        <f>inter($B25/10,F$19,'[4]Clin-PDD'!$A$18:$H$26)</f>
        <v>63.536881333831509</v>
      </c>
      <c r="G25" s="59">
        <f>inter($B25/10,G$19,'[4]Clin-PDD'!$A$18:$H$26)</f>
        <v>63.537031165753909</v>
      </c>
      <c r="H25" s="59">
        <f>inter($B25/10,H$19,'[4]Clin-PDD'!$A$18:$H$26)</f>
        <v>63.537042321904138</v>
      </c>
      <c r="I25" s="60">
        <f>inter($B25/10,I$19,'[4]Clin-PDD'!$A$18:$H$26)</f>
        <v>63.537180289162237</v>
      </c>
    </row>
    <row r="26" spans="1:10" x14ac:dyDescent="0.25">
      <c r="A26" s="221"/>
      <c r="B26" s="38">
        <v>5</v>
      </c>
      <c r="C26" s="58">
        <f>inter($B26/10,C$19,'[4]Clin-PDD'!$A$18:$H$26)</f>
        <v>40.422329242901888</v>
      </c>
      <c r="D26" s="59">
        <f>inter($B26/10,D$19,'[4]Clin-PDD'!$A$18:$H$26)</f>
        <v>40.422053396204475</v>
      </c>
      <c r="E26" s="59">
        <f>inter($B26/10,E$19,'[4]Clin-PDD'!$A$18:$H$26)</f>
        <v>40.421915472855773</v>
      </c>
      <c r="F26" s="59">
        <f>inter($B26/10,F$19,'[4]Clin-PDD'!$A$18:$H$26)</f>
        <v>40.421901600387478</v>
      </c>
      <c r="G26" s="59">
        <f>inter($B26/10,G$19,'[4]Clin-PDD'!$A$18:$H$26)</f>
        <v>40.422113383631874</v>
      </c>
      <c r="H26" s="59">
        <f>inter($B26/10,H$19,'[4]Clin-PDD'!$A$18:$H$26)</f>
        <v>40.422128074412221</v>
      </c>
      <c r="I26" s="60">
        <f>inter($B26/10,I$19,'[4]Clin-PDD'!$A$18:$H$26)</f>
        <v>40.42232435090088</v>
      </c>
    </row>
    <row r="27" spans="1:10" x14ac:dyDescent="0.25">
      <c r="A27" s="221"/>
      <c r="B27" s="39">
        <v>10</v>
      </c>
      <c r="C27" s="61">
        <f>inter($B27/10,C$19,'[4]Clin-PDD'!$A$18:$H$26)</f>
        <v>22.044638231266784</v>
      </c>
      <c r="D27" s="62">
        <f>inter($B27/10,D$19,'[4]Clin-PDD'!$A$18:$H$26)</f>
        <v>22.044329276462889</v>
      </c>
      <c r="E27" s="62">
        <f>inter($B27/10,E$19,'[4]Clin-PDD'!$A$18:$H$26)</f>
        <v>22.044174799060947</v>
      </c>
      <c r="F27" s="62">
        <f>inter($B27/10,F$19,'[4]Clin-PDD'!$A$18:$H$26)</f>
        <v>22.044138290060346</v>
      </c>
      <c r="G27" s="62">
        <f>inter($B27/10,G$19,'[4]Clin-PDD'!$A$18:$H$26)</f>
        <v>22.044361094675331</v>
      </c>
      <c r="H27" s="62">
        <f>inter($B27/10,H$19,'[4]Clin-PDD'!$A$18:$H$26)</f>
        <v>22.044375532355808</v>
      </c>
      <c r="I27" s="63">
        <f>inter($B27/10,I$19,'[4]Clin-PDD'!$A$18:$H$26)</f>
        <v>22.044583215930302</v>
      </c>
    </row>
    <row r="30" spans="1:10" ht="18" x14ac:dyDescent="0.25">
      <c r="A30" s="2" t="s">
        <v>33</v>
      </c>
    </row>
    <row r="32" spans="1:10" ht="18.75" x14ac:dyDescent="0.3">
      <c r="A32" s="218" t="s">
        <v>28</v>
      </c>
      <c r="B32" s="219"/>
      <c r="C32" s="219"/>
      <c r="D32" s="219"/>
      <c r="E32" s="219"/>
      <c r="F32" s="219"/>
      <c r="G32" s="219"/>
      <c r="H32" s="219"/>
      <c r="I32" s="219"/>
      <c r="J32" s="220"/>
    </row>
    <row r="34" spans="1:10" ht="18" x14ac:dyDescent="0.25">
      <c r="A34" s="32" t="s">
        <v>25</v>
      </c>
      <c r="B34" s="33">
        <v>15</v>
      </c>
      <c r="C34" s="34" t="s">
        <v>26</v>
      </c>
      <c r="D34" s="1"/>
      <c r="E34" s="1"/>
      <c r="F34" s="1"/>
    </row>
    <row r="35" spans="1:10" x14ac:dyDescent="0.25">
      <c r="A35" s="1"/>
      <c r="B35" s="1"/>
      <c r="C35" s="77" t="s">
        <v>27</v>
      </c>
      <c r="D35" s="77"/>
      <c r="E35" s="77"/>
      <c r="F35" s="77"/>
      <c r="G35" s="77"/>
      <c r="H35" s="77"/>
      <c r="I35" s="77"/>
    </row>
    <row r="36" spans="1:10" x14ac:dyDescent="0.25">
      <c r="A36" s="1"/>
      <c r="B36" s="23"/>
      <c r="C36" s="78">
        <v>1</v>
      </c>
      <c r="D36" s="35">
        <v>2</v>
      </c>
      <c r="E36" s="35">
        <v>3</v>
      </c>
      <c r="F36" s="35">
        <v>4</v>
      </c>
      <c r="G36" s="35">
        <v>5</v>
      </c>
      <c r="H36" s="35">
        <v>6</v>
      </c>
      <c r="I36" s="36">
        <v>8</v>
      </c>
      <c r="J36" s="23"/>
    </row>
    <row r="37" spans="1:10" x14ac:dyDescent="0.25">
      <c r="A37" s="221" t="s">
        <v>32</v>
      </c>
      <c r="B37" s="43">
        <f>'[4]Clin-PDD'!$A35</f>
        <v>0</v>
      </c>
      <c r="C37" s="49">
        <f>'[4]Clin-PDD'!C35</f>
        <v>100</v>
      </c>
      <c r="D37" s="50">
        <f>'[4]Clin-PDD'!D35</f>
        <v>100</v>
      </c>
      <c r="E37" s="50">
        <f>'[4]Clin-PDD'!E35</f>
        <v>100</v>
      </c>
      <c r="F37" s="50">
        <f>'[4]Clin-PDD'!F35</f>
        <v>100</v>
      </c>
      <c r="G37" s="50">
        <f>'[4]Clin-PDD'!G35</f>
        <v>100</v>
      </c>
      <c r="H37" s="50">
        <f>'[4]Clin-PDD'!H35</f>
        <v>100</v>
      </c>
      <c r="I37" s="51">
        <f>'[4]Clin-PDD'!I35</f>
        <v>100</v>
      </c>
    </row>
    <row r="38" spans="1:10" x14ac:dyDescent="0.25">
      <c r="A38" s="221"/>
      <c r="B38" s="70">
        <v>1.49</v>
      </c>
      <c r="C38" s="52">
        <f>inter($B38/10,C$36,'[4]Clin-PDD'!$A$34:$I$41)</f>
        <v>89.51061285714286</v>
      </c>
      <c r="D38" s="53">
        <f>inter($B38/10,D$36,'[4]Clin-PDD'!$A$34:$I$41)</f>
        <v>90.148971428571429</v>
      </c>
      <c r="E38" s="53">
        <f>inter($B38/10,E$36,'[4]Clin-PDD'!$A$34:$I$41)</f>
        <v>90.601576666666674</v>
      </c>
      <c r="F38" s="53">
        <f>inter($B38/10,F$36,'[4]Clin-PDD'!$A$34:$I$41)</f>
        <v>90.894361666666668</v>
      </c>
      <c r="G38" s="53">
        <f>inter($B38/10,G$36,'[4]Clin-PDD'!$A$34:$I$41)</f>
        <v>91.154366666666661</v>
      </c>
      <c r="H38" s="53">
        <f>inter($B38/10,H$36,'[4]Clin-PDD'!$A$34:$I$41)</f>
        <v>91.352421354339853</v>
      </c>
      <c r="I38" s="54">
        <f>inter($B38/10,I$36,'[4]Clin-PDD'!$A$34:$I$41)</f>
        <v>91.693897396352881</v>
      </c>
    </row>
    <row r="39" spans="1:10" x14ac:dyDescent="0.25">
      <c r="A39" s="221"/>
      <c r="B39" s="70">
        <v>1.7</v>
      </c>
      <c r="C39" s="52">
        <f>inter($B39/10,C$36,'[4]Clin-PDD'!$A$34:$I$41)</f>
        <v>88.032242857142862</v>
      </c>
      <c r="D39" s="53">
        <f>inter($B39/10,D$36,'[4]Clin-PDD'!$A$34:$I$41)</f>
        <v>88.760571428571438</v>
      </c>
      <c r="E39" s="53">
        <f>inter($B39/10,E$36,'[4]Clin-PDD'!$A$34:$I$41)</f>
        <v>89.276966666666667</v>
      </c>
      <c r="F39" s="53">
        <f>inter($B39/10,F$36,'[4]Clin-PDD'!$A$34:$I$41)</f>
        <v>89.611016666666671</v>
      </c>
      <c r="G39" s="53">
        <f>inter($B39/10,G$36,'[4]Clin-PDD'!$A$34:$I$41)</f>
        <v>89.907666666666671</v>
      </c>
      <c r="H39" s="53">
        <f>inter($B39/10,H$36,'[4]Clin-PDD'!$A$34:$I$41)</f>
        <v>90.133635102266936</v>
      </c>
      <c r="I39" s="54">
        <f>inter($B39/10,I$36,'[4]Clin-PDD'!$A$34:$I$41)</f>
        <v>90.523238640134153</v>
      </c>
    </row>
    <row r="40" spans="1:10" x14ac:dyDescent="0.25">
      <c r="A40" s="221"/>
      <c r="B40" s="71">
        <v>2.9</v>
      </c>
      <c r="C40" s="55">
        <f>inter($B40/10,C$36,'[4]Clin-PDD'!$A$34:$I$41)</f>
        <v>79.584414285714288</v>
      </c>
      <c r="D40" s="56">
        <f>inter($B40/10,D$36,'[4]Clin-PDD'!$A$34:$I$41)</f>
        <v>80.826857142857151</v>
      </c>
      <c r="E40" s="56">
        <f>inter($B40/10,E$36,'[4]Clin-PDD'!$A$34:$I$41)</f>
        <v>81.707766666666672</v>
      </c>
      <c r="F40" s="56">
        <f>inter($B40/10,F$36,'[4]Clin-PDD'!$A$34:$I$41)</f>
        <v>82.277616666666674</v>
      </c>
      <c r="G40" s="56">
        <f>inter($B40/10,G$36,'[4]Clin-PDD'!$A$34:$I$41)</f>
        <v>82.783666666666676</v>
      </c>
      <c r="H40" s="56">
        <f>inter($B40/10,H$36,'[4]Clin-PDD'!$A$34:$I$41)</f>
        <v>83.169142233278905</v>
      </c>
      <c r="I40" s="57">
        <f>inter($B40/10,I$36,'[4]Clin-PDD'!$A$34:$I$41)</f>
        <v>83.833760033170023</v>
      </c>
    </row>
    <row r="41" spans="1:10" x14ac:dyDescent="0.25">
      <c r="A41" s="221"/>
      <c r="B41" s="71">
        <v>3.2</v>
      </c>
      <c r="C41" s="55">
        <f>inter($B41/10,C$36,'[4]Clin-PDD'!$A$34:$I$41)</f>
        <v>77.472457142857152</v>
      </c>
      <c r="D41" s="56">
        <f>inter($B41/10,D$36,'[4]Clin-PDD'!$A$34:$I$41)</f>
        <v>78.843428571428575</v>
      </c>
      <c r="E41" s="56">
        <f>inter($B41/10,E$36,'[4]Clin-PDD'!$A$34:$I$41)</f>
        <v>79.81546666666668</v>
      </c>
      <c r="F41" s="56">
        <f>inter($B41/10,F$36,'[4]Clin-PDD'!$A$34:$I$41)</f>
        <v>80.444266666666664</v>
      </c>
      <c r="G41" s="56">
        <f>inter($B41/10,G$36,'[4]Clin-PDD'!$A$34:$I$41)</f>
        <v>81.00266666666667</v>
      </c>
      <c r="H41" s="56">
        <f>inter($B41/10,H$36,'[4]Clin-PDD'!$A$34:$I$41)</f>
        <v>81.428019016031882</v>
      </c>
      <c r="I41" s="57">
        <f>inter($B41/10,I$36,'[4]Clin-PDD'!$A$34:$I$41)</f>
        <v>82.161390381429001</v>
      </c>
    </row>
    <row r="42" spans="1:10" x14ac:dyDescent="0.25">
      <c r="A42" s="221"/>
      <c r="B42" s="44">
        <v>6</v>
      </c>
      <c r="C42" s="58">
        <f>inter($B42/10,C$36,'[4]Clin-PDD'!$A$34:$I$41)</f>
        <v>62.862571428571435</v>
      </c>
      <c r="D42" s="59">
        <f>inter($B42/10,D$36,'[4]Clin-PDD'!$A$34:$I$41)</f>
        <v>64.90995238095239</v>
      </c>
      <c r="E42" s="59">
        <f>inter($B42/10,E$36,'[4]Clin-PDD'!$A$34:$I$41)</f>
        <v>66.297333333333341</v>
      </c>
      <c r="F42" s="59">
        <f>inter($B42/10,F$36,'[4]Clin-PDD'!$A$34:$I$41)</f>
        <v>67.175000000000011</v>
      </c>
      <c r="G42" s="59">
        <f>inter($B42/10,G$36,'[4]Clin-PDD'!$A$34:$I$41)</f>
        <v>67.909666666666666</v>
      </c>
      <c r="H42" s="59">
        <f>inter($B42/10,H$36,'[4]Clin-PDD'!$A$34:$I$41)</f>
        <v>68.553493928628342</v>
      </c>
      <c r="I42" s="60">
        <f>inter($B42/10,I$36,'[4]Clin-PDD'!$A$34:$I$41)</f>
        <v>69.654148452551681</v>
      </c>
    </row>
    <row r="43" spans="1:10" x14ac:dyDescent="0.25">
      <c r="A43" s="221"/>
      <c r="B43" s="44">
        <v>8</v>
      </c>
      <c r="C43" s="58">
        <f>inter($B43/10,C$36,'[4]Clin-PDD'!$A$34:$I$41)</f>
        <v>53.884571428571427</v>
      </c>
      <c r="D43" s="59">
        <f>inter($B43/10,D$36,'[4]Clin-PDD'!$A$34:$I$41)</f>
        <v>56.265619047619047</v>
      </c>
      <c r="E43" s="59">
        <f>inter($B43/10,E$36,'[4]Clin-PDD'!$A$34:$I$41)</f>
        <v>57.825333333333333</v>
      </c>
      <c r="F43" s="59">
        <f>inter($B43/10,F$36,'[4]Clin-PDD'!$A$34:$I$41)</f>
        <v>58.794666666666664</v>
      </c>
      <c r="G43" s="59">
        <f>inter($B43/10,G$36,'[4]Clin-PDD'!$A$34:$I$41)</f>
        <v>59.565999999999995</v>
      </c>
      <c r="H43" s="59">
        <f>inter($B43/10,H$36,'[4]Clin-PDD'!$A$34:$I$41)</f>
        <v>60.321964087216813</v>
      </c>
      <c r="I43" s="60">
        <f>inter($B43/10,I$36,'[4]Clin-PDD'!$A$34:$I$41)</f>
        <v>61.606558928317106</v>
      </c>
    </row>
    <row r="44" spans="1:10" x14ac:dyDescent="0.25">
      <c r="A44" s="221"/>
      <c r="B44" s="44">
        <v>12</v>
      </c>
      <c r="C44" s="58">
        <f>inter($B44/10,C$36,'[4]Clin-PDD'!$A$34:$I$41)</f>
        <v>43.741571428571433</v>
      </c>
      <c r="D44" s="59">
        <f>inter($B44/10,D$36,'[4]Clin-PDD'!$A$34:$I$41)</f>
        <v>46.096952380952388</v>
      </c>
      <c r="E44" s="59">
        <f>inter($B44/10,E$36,'[4]Clin-PDD'!$A$34:$I$41)</f>
        <v>47.664000000000001</v>
      </c>
      <c r="F44" s="59">
        <f>inter($B44/10,F$36,'[4]Clin-PDD'!$A$34:$I$41)</f>
        <v>48.644333333333336</v>
      </c>
      <c r="G44" s="59">
        <f>inter($B44/10,G$36,'[4]Clin-PDD'!$A$34:$I$41)</f>
        <v>49.408333333333331</v>
      </c>
      <c r="H44" s="59">
        <f>inter($B44/10,H$36,'[4]Clin-PDD'!$A$34:$I$41)</f>
        <v>50.03376568874576</v>
      </c>
      <c r="I44" s="60">
        <f>inter($B44/10,I$36,'[4]Clin-PDD'!$A$34:$I$41)</f>
        <v>51.031630399570588</v>
      </c>
    </row>
    <row r="45" spans="1:10" x14ac:dyDescent="0.25">
      <c r="A45" s="221"/>
      <c r="B45" s="45">
        <v>20</v>
      </c>
      <c r="C45" s="61">
        <f>inter($B45/10,C$36,'[4]Clin-PDD'!$A$34:$I$41)</f>
        <v>28.011904761904759</v>
      </c>
      <c r="D45" s="62">
        <f>inter($B45/10,D$36,'[4]Clin-PDD'!$A$34:$I$41)</f>
        <v>30.121619047619049</v>
      </c>
      <c r="E45" s="62">
        <f>inter($B45/10,E$36,'[4]Clin-PDD'!$A$34:$I$41)</f>
        <v>31.637333333333338</v>
      </c>
      <c r="F45" s="62">
        <f>inter($B45/10,F$36,'[4]Clin-PDD'!$A$34:$I$41)</f>
        <v>32.614000000000004</v>
      </c>
      <c r="G45" s="62">
        <f>inter($B45/10,G$36,'[4]Clin-PDD'!$A$34:$I$41)</f>
        <v>33.370666666666665</v>
      </c>
      <c r="H45" s="62">
        <f>inter($B45/10,H$36,'[4]Clin-PDD'!$A$34:$I$41)</f>
        <v>33.800346475702156</v>
      </c>
      <c r="I45" s="63">
        <f>inter($B45/10,I$36,'[4]Clin-PDD'!$A$34:$I$41)</f>
        <v>34.388372760439793</v>
      </c>
    </row>
    <row r="46" spans="1:10" x14ac:dyDescent="0.25">
      <c r="A46" s="1"/>
      <c r="B46" s="23"/>
      <c r="C46" s="23"/>
      <c r="D46" s="23"/>
      <c r="E46" s="23"/>
      <c r="F46" s="23"/>
      <c r="G46" s="23"/>
      <c r="H46" s="23"/>
      <c r="I46" s="23"/>
      <c r="J46" s="23"/>
    </row>
    <row r="47" spans="1:10" ht="18" x14ac:dyDescent="0.25">
      <c r="A47" s="40" t="s">
        <v>25</v>
      </c>
      <c r="B47" s="41">
        <v>25</v>
      </c>
      <c r="C47" s="42" t="s">
        <v>26</v>
      </c>
      <c r="D47" s="1"/>
      <c r="E47" s="1"/>
      <c r="F47" s="1"/>
    </row>
    <row r="48" spans="1:10" x14ac:dyDescent="0.25">
      <c r="A48" s="1"/>
      <c r="B48" s="1"/>
      <c r="C48" s="214" t="s">
        <v>27</v>
      </c>
      <c r="D48" s="214"/>
      <c r="E48" s="214"/>
      <c r="F48" s="214"/>
      <c r="G48" s="214"/>
      <c r="H48" s="214"/>
      <c r="I48" s="214"/>
      <c r="J48" s="214"/>
    </row>
    <row r="49" spans="1:10" x14ac:dyDescent="0.25">
      <c r="A49" s="1"/>
      <c r="B49" s="23"/>
      <c r="C49" s="46">
        <v>1</v>
      </c>
      <c r="D49" s="47">
        <f>'[4]Clin-PDD'!D$46</f>
        <v>2</v>
      </c>
      <c r="E49" s="47">
        <f>'[4]Clin-PDD'!E$46</f>
        <v>3</v>
      </c>
      <c r="F49" s="47">
        <f>'[4]Clin-PDD'!F$46</f>
        <v>4</v>
      </c>
      <c r="G49" s="47">
        <f>'[4]Clin-PDD'!G$46</f>
        <v>5</v>
      </c>
      <c r="H49" s="47">
        <f>'[4]Clin-PDD'!H$46</f>
        <v>6</v>
      </c>
      <c r="I49" s="47">
        <f>'[4]Clin-PDD'!I$46</f>
        <v>10</v>
      </c>
      <c r="J49" s="48">
        <f>'[4]Clin-PDD'!J$46</f>
        <v>15</v>
      </c>
    </row>
    <row r="50" spans="1:10" ht="15" customHeight="1" x14ac:dyDescent="0.25">
      <c r="A50" s="221" t="s">
        <v>32</v>
      </c>
      <c r="B50" s="43">
        <f>'[4]Clin-PDD'!$A47</f>
        <v>0</v>
      </c>
      <c r="C50" s="49">
        <f>'[4]Clin-PDD'!B47</f>
        <v>100</v>
      </c>
      <c r="D50" s="50">
        <f>'[4]Clin-PDD'!D47</f>
        <v>100</v>
      </c>
      <c r="E50" s="50">
        <f>'[4]Clin-PDD'!E47</f>
        <v>100</v>
      </c>
      <c r="F50" s="50">
        <f>'[4]Clin-PDD'!F47</f>
        <v>100</v>
      </c>
      <c r="G50" s="50">
        <f>'[4]Clin-PDD'!G47</f>
        <v>100</v>
      </c>
      <c r="H50" s="50">
        <f>'[4]Clin-PDD'!H47</f>
        <v>100</v>
      </c>
      <c r="I50" s="50">
        <f>'[4]Clin-PDD'!I47</f>
        <v>100</v>
      </c>
      <c r="J50" s="51">
        <f>'[4]Clin-PDD'!J47</f>
        <v>100</v>
      </c>
    </row>
    <row r="51" spans="1:10" x14ac:dyDescent="0.25">
      <c r="A51" s="221"/>
      <c r="B51" s="70">
        <v>1.5</v>
      </c>
      <c r="C51" s="52">
        <f>inter($B51/10,C$49,'[4]Clin-PDD'!$A$46:$J$53)</f>
        <v>90.309373310698888</v>
      </c>
      <c r="D51" s="53">
        <f>inter($B51/10,D$49,'[4]Clin-PDD'!$A$46:$J$53)</f>
        <v>91.001760562738028</v>
      </c>
      <c r="E51" s="53">
        <f>inter($B51/10,E$49,'[4]Clin-PDD'!$A$46:$J$53)</f>
        <v>91.52914781477719</v>
      </c>
      <c r="F51" s="53">
        <f>inter($B51/10,F$49,'[4]Clin-PDD'!$A$46:$J$53)</f>
        <v>91.80087190238676</v>
      </c>
      <c r="G51" s="53">
        <f>inter($B51/10,G$49,'[4]Clin-PDD'!$A$46:$J$53)</f>
        <v>92.017595989996337</v>
      </c>
      <c r="H51" s="53">
        <f>inter($B51/10,H$49,'[4]Clin-PDD'!$A$46:$J$53)</f>
        <v>92.119861256283542</v>
      </c>
      <c r="I51" s="53">
        <f>inter($B51/10,I$49,'[4]Clin-PDD'!$A$46:$J$53)</f>
        <v>92.407922321432395</v>
      </c>
      <c r="J51" s="54">
        <f>inter($B51/10,J$49,'[4]Clin-PDD'!$A$46:$J$53)</f>
        <v>92.692012237550244</v>
      </c>
    </row>
    <row r="52" spans="1:10" x14ac:dyDescent="0.25">
      <c r="A52" s="221"/>
      <c r="B52" s="70">
        <v>1.8</v>
      </c>
      <c r="C52" s="52">
        <f>inter($B52/10,C$49,'[4]Clin-PDD'!$A$46:$J$53)</f>
        <v>88.37124797283866</v>
      </c>
      <c r="D52" s="53">
        <f>inter($B52/10,D$49,'[4]Clin-PDD'!$A$46:$J$53)</f>
        <v>89.202112675285647</v>
      </c>
      <c r="E52" s="53">
        <f>inter($B52/10,E$49,'[4]Clin-PDD'!$A$46:$J$53)</f>
        <v>89.834977377732613</v>
      </c>
      <c r="F52" s="53">
        <f>inter($B52/10,F$49,'[4]Clin-PDD'!$A$46:$J$53)</f>
        <v>90.16104628286412</v>
      </c>
      <c r="G52" s="53">
        <f>inter($B52/10,G$49,'[4]Clin-PDD'!$A$46:$J$53)</f>
        <v>90.421115187995596</v>
      </c>
      <c r="H52" s="53">
        <f>inter($B52/10,H$49,'[4]Clin-PDD'!$A$46:$J$53)</f>
        <v>90.543833507540256</v>
      </c>
      <c r="I52" s="53">
        <f>inter($B52/10,I$49,'[4]Clin-PDD'!$A$46:$J$53)</f>
        <v>90.889506785718879</v>
      </c>
      <c r="J52" s="54">
        <f>inter($B52/10,J$49,'[4]Clin-PDD'!$A$46:$J$53)</f>
        <v>91.230414685060282</v>
      </c>
    </row>
    <row r="53" spans="1:10" x14ac:dyDescent="0.25">
      <c r="A53" s="221"/>
      <c r="B53" s="71">
        <v>3.1</v>
      </c>
      <c r="C53" s="55">
        <f>inter($B53/10,C$49,'[4]Clin-PDD'!$A$46:$J$53)</f>
        <v>79.972704842111028</v>
      </c>
      <c r="D53" s="56">
        <f>inter($B53/10,D$49,'[4]Clin-PDD'!$A$46:$J$53)</f>
        <v>81.403638496325271</v>
      </c>
      <c r="E53" s="56">
        <f>inter($B53/10,E$49,'[4]Clin-PDD'!$A$46:$J$53)</f>
        <v>82.493572150539507</v>
      </c>
      <c r="F53" s="56">
        <f>inter($B53/10,F$49,'[4]Clin-PDD'!$A$46:$J$53)</f>
        <v>83.055135264932645</v>
      </c>
      <c r="G53" s="56">
        <f>inter($B53/10,G$49,'[4]Clin-PDD'!$A$46:$J$53)</f>
        <v>83.503031712659094</v>
      </c>
      <c r="H53" s="56">
        <f>inter($B53/10,H$49,'[4]Clin-PDD'!$A$46:$J$53)</f>
        <v>83.714379929652665</v>
      </c>
      <c r="I53" s="56">
        <f>inter($B53/10,I$49,'[4]Clin-PDD'!$A$46:$J$53)</f>
        <v>84.309706130960294</v>
      </c>
      <c r="J53" s="57">
        <f>inter($B53/10,J$49,'[4]Clin-PDD'!$A$46:$J$53)</f>
        <v>84.896825290937159</v>
      </c>
    </row>
    <row r="54" spans="1:10" x14ac:dyDescent="0.25">
      <c r="A54" s="221"/>
      <c r="B54" s="71">
        <v>3.6</v>
      </c>
      <c r="C54" s="55">
        <f>inter($B54/10,C$49,'[4]Clin-PDD'!$A$46:$J$53)</f>
        <v>76.742495945677319</v>
      </c>
      <c r="D54" s="56">
        <f>inter($B54/10,D$49,'[4]Clin-PDD'!$A$46:$J$53)</f>
        <v>78.404225350571281</v>
      </c>
      <c r="E54" s="56">
        <f>inter($B54/10,E$49,'[4]Clin-PDD'!$A$46:$J$53)</f>
        <v>79.669954755465241</v>
      </c>
      <c r="F54" s="56">
        <f>inter($B54/10,F$49,'[4]Clin-PDD'!$A$46:$J$53)</f>
        <v>80.322092565728227</v>
      </c>
      <c r="G54" s="56">
        <f>inter($B54/10,G$49,'[4]Clin-PDD'!$A$46:$J$53)</f>
        <v>80.842230375991193</v>
      </c>
      <c r="H54" s="56">
        <f>inter($B54/10,H$49,'[4]Clin-PDD'!$A$46:$J$53)</f>
        <v>81.087667015080513</v>
      </c>
      <c r="I54" s="56">
        <f>inter($B54/10,I$49,'[4]Clin-PDD'!$A$46:$J$53)</f>
        <v>81.779013571437758</v>
      </c>
      <c r="J54" s="57">
        <f>inter($B54/10,J$49,'[4]Clin-PDD'!$A$46:$J$53)</f>
        <v>82.460829370120564</v>
      </c>
    </row>
    <row r="55" spans="1:10" x14ac:dyDescent="0.25">
      <c r="A55" s="221"/>
      <c r="B55" s="44">
        <v>6</v>
      </c>
      <c r="C55" s="58">
        <f>inter($B55/10,C$49,'[4]Clin-PDD'!$A$46:$J$53)</f>
        <v>65.640326638780664</v>
      </c>
      <c r="D55" s="59">
        <f>inter($B55/10,D$49,'[4]Clin-PDD'!$A$46:$J$53)</f>
        <v>67.741086963233201</v>
      </c>
      <c r="E55" s="59">
        <f>inter($B55/10,E$49,'[4]Clin-PDD'!$A$46:$J$53)</f>
        <v>69.313847287685746</v>
      </c>
      <c r="F55" s="59">
        <f>inter($B55/10,F$49,'[4]Clin-PDD'!$A$46:$J$53)</f>
        <v>70.133421039706718</v>
      </c>
      <c r="G55" s="59">
        <f>inter($B55/10,G$49,'[4]Clin-PDD'!$A$46:$J$53)</f>
        <v>70.765994791727678</v>
      </c>
      <c r="H55" s="59">
        <f>inter($B55/10,H$49,'[4]Clin-PDD'!$A$46:$J$53)</f>
        <v>71.141130077199705</v>
      </c>
      <c r="I55" s="59">
        <f>inter($B55/10,I$49,'[4]Clin-PDD'!$A$46:$J$53)</f>
        <v>72.256671219087778</v>
      </c>
      <c r="J55" s="60">
        <f>inter($B55/10,J$49,'[4]Clin-PDD'!$A$46:$J$53)</f>
        <v>73.074187806864742</v>
      </c>
    </row>
    <row r="56" spans="1:10" x14ac:dyDescent="0.25">
      <c r="A56" s="221"/>
      <c r="B56" s="44">
        <v>8</v>
      </c>
      <c r="C56" s="58">
        <f>inter($B56/10,C$49,'[4]Clin-PDD'!$A$46:$J$53)</f>
        <v>57.12232444903097</v>
      </c>
      <c r="D56" s="59">
        <f>inter($B56/10,D$49,'[4]Clin-PDD'!$A$46:$J$53)</f>
        <v>59.477479092498314</v>
      </c>
      <c r="E56" s="59">
        <f>inter($B56/10,E$49,'[4]Clin-PDD'!$A$46:$J$53)</f>
        <v>61.216633735965665</v>
      </c>
      <c r="F56" s="59">
        <f>inter($B56/10,F$49,'[4]Clin-PDD'!$A$46:$J$53)</f>
        <v>62.131183673048739</v>
      </c>
      <c r="G56" s="59">
        <f>inter($B56/10,G$49,'[4]Clin-PDD'!$A$46:$J$53)</f>
        <v>62.818400276798478</v>
      </c>
      <c r="H56" s="59">
        <f>inter($B56/10,H$49,'[4]Clin-PDD'!$A$46:$J$53)</f>
        <v>63.295963470976616</v>
      </c>
      <c r="I56" s="59">
        <f>inter($B56/10,I$49,'[4]Clin-PDD'!$A$46:$J$53)</f>
        <v>64.758882914355823</v>
      </c>
      <c r="J56" s="60">
        <f>inter($B56/10,J$49,'[4]Clin-PDD'!$A$46:$J$53)</f>
        <v>65.636342980262185</v>
      </c>
    </row>
    <row r="57" spans="1:10" x14ac:dyDescent="0.25">
      <c r="A57" s="221"/>
      <c r="B57" s="44">
        <v>12</v>
      </c>
      <c r="C57" s="58">
        <f>inter($B57/10,C$49,'[4]Clin-PDD'!$A$46:$J$53)</f>
        <v>46.690879684790829</v>
      </c>
      <c r="D57" s="59">
        <f>inter($B57/10,D$49,'[4]Clin-PDD'!$A$46:$J$53)</f>
        <v>49.049618130050717</v>
      </c>
      <c r="E57" s="59">
        <f>inter($B57/10,E$49,'[4]Clin-PDD'!$A$46:$J$53)</f>
        <v>50.803356575310609</v>
      </c>
      <c r="F57" s="59">
        <f>inter($B57/10,F$49,'[4]Clin-PDD'!$A$46:$J$53)</f>
        <v>51.733411992746312</v>
      </c>
      <c r="G57" s="59">
        <f>inter($B57/10,G$49,'[4]Clin-PDD'!$A$46:$J$53)</f>
        <v>52.432467410182014</v>
      </c>
      <c r="H57" s="59">
        <f>inter($B57/10,H$49,'[4]Clin-PDD'!$A$46:$J$53)</f>
        <v>52.872899485596804</v>
      </c>
      <c r="I57" s="59">
        <f>inter($B57/10,I$49,'[4]Clin-PDD'!$A$46:$J$53)</f>
        <v>54.128627787255979</v>
      </c>
      <c r="J57" s="60">
        <f>inter($B57/10,J$49,'[4]Clin-PDD'!$A$46:$J$53)</f>
        <v>55.023483246886641</v>
      </c>
    </row>
    <row r="58" spans="1:10" x14ac:dyDescent="0.25">
      <c r="A58" s="221"/>
      <c r="B58" s="45">
        <v>20</v>
      </c>
      <c r="C58" s="61">
        <f>inter($B58/10,C$49,'[4]Clin-PDD'!$A$46:$J$53)</f>
        <v>30.323209115064934</v>
      </c>
      <c r="D58" s="62">
        <f>inter($B58/10,D$49,'[4]Clin-PDD'!$A$46:$J$53)</f>
        <v>32.528283939794278</v>
      </c>
      <c r="E58" s="62">
        <f>inter($B58/10,E$49,'[4]Clin-PDD'!$A$46:$J$53)</f>
        <v>34.227358764523629</v>
      </c>
      <c r="F58" s="62">
        <f>inter($B58/10,F$49,'[4]Clin-PDD'!$A$46:$J$53)</f>
        <v>35.14913299607867</v>
      </c>
      <c r="G58" s="62">
        <f>inter($B58/10,G$49,'[4]Clin-PDD'!$A$46:$J$53)</f>
        <v>35.858240560967047</v>
      </c>
      <c r="H58" s="62">
        <f>inter($B58/10,H$49,'[4]Clin-PDD'!$A$46:$J$53)</f>
        <v>36.261153948991421</v>
      </c>
      <c r="I58" s="62">
        <f>inter($B58/10,I$49,'[4]Clin-PDD'!$A$46:$J$53)</f>
        <v>37.330140834422266</v>
      </c>
      <c r="J58" s="63">
        <f>inter($B58/10,J$49,'[4]Clin-PDD'!$A$46:$J$53)</f>
        <v>38.230727840011724</v>
      </c>
    </row>
    <row r="61" spans="1:10" ht="18" x14ac:dyDescent="0.25">
      <c r="A61" s="2" t="s">
        <v>33</v>
      </c>
    </row>
    <row r="63" spans="1:10" ht="18.75" x14ac:dyDescent="0.3">
      <c r="A63" s="204" t="s">
        <v>29</v>
      </c>
      <c r="B63" s="205"/>
      <c r="C63" s="205"/>
      <c r="D63" s="205"/>
      <c r="E63" s="205"/>
      <c r="F63" s="205"/>
      <c r="G63" s="205"/>
      <c r="H63" s="205"/>
      <c r="I63" s="205"/>
      <c r="J63" s="206"/>
    </row>
    <row r="65" spans="1:10" ht="18" x14ac:dyDescent="0.25">
      <c r="A65" s="32" t="s">
        <v>25</v>
      </c>
      <c r="B65" s="33">
        <v>15</v>
      </c>
      <c r="C65" s="34" t="s">
        <v>26</v>
      </c>
      <c r="D65" s="1"/>
      <c r="E65" s="1"/>
      <c r="F65" s="1"/>
    </row>
    <row r="66" spans="1:10" x14ac:dyDescent="0.25">
      <c r="A66" s="1"/>
      <c r="B66" s="1"/>
      <c r="C66" s="77" t="s">
        <v>27</v>
      </c>
      <c r="D66" s="77"/>
      <c r="E66" s="77"/>
      <c r="F66" s="77"/>
      <c r="G66" s="77"/>
      <c r="H66" s="77"/>
      <c r="I66" s="77"/>
    </row>
    <row r="67" spans="1:10" x14ac:dyDescent="0.25">
      <c r="A67" s="1"/>
      <c r="B67" s="23"/>
      <c r="C67" s="46">
        <v>1</v>
      </c>
      <c r="D67" s="47">
        <f>'[4]Clin-PDD'!D$61</f>
        <v>2</v>
      </c>
      <c r="E67" s="47">
        <f>'[4]Clin-PDD'!E$61</f>
        <v>3</v>
      </c>
      <c r="F67" s="47">
        <f>'[4]Clin-PDD'!F$61</f>
        <v>4</v>
      </c>
      <c r="G67" s="47">
        <f>'[4]Clin-PDD'!G$61</f>
        <v>5</v>
      </c>
      <c r="H67" s="47">
        <f>'[4]Clin-PDD'!H$61</f>
        <v>6</v>
      </c>
      <c r="I67" s="48">
        <f>'[4]Clin-PDD'!I$61</f>
        <v>8</v>
      </c>
      <c r="J67" s="23"/>
    </row>
    <row r="68" spans="1:10" ht="15" customHeight="1" x14ac:dyDescent="0.25">
      <c r="A68" s="221" t="s">
        <v>32</v>
      </c>
      <c r="B68" s="43">
        <f>'[4]Clin-PDD'!$A62</f>
        <v>0</v>
      </c>
      <c r="C68" s="49">
        <f>'[4]Clin-PDD'!B62</f>
        <v>100</v>
      </c>
      <c r="D68" s="50">
        <f>'[4]Clin-PDD'!D62</f>
        <v>100</v>
      </c>
      <c r="E68" s="50">
        <f>'[4]Clin-PDD'!E62</f>
        <v>100</v>
      </c>
      <c r="F68" s="50">
        <f>'[4]Clin-PDD'!F62</f>
        <v>100</v>
      </c>
      <c r="G68" s="50">
        <f>'[4]Clin-PDD'!G62</f>
        <v>100</v>
      </c>
      <c r="H68" s="50">
        <f>'[4]Clin-PDD'!H62</f>
        <v>100</v>
      </c>
      <c r="I68" s="51">
        <f>'[4]Clin-PDD'!I62</f>
        <v>100</v>
      </c>
    </row>
    <row r="69" spans="1:10" ht="15" customHeight="1" x14ac:dyDescent="0.25">
      <c r="A69" s="221"/>
      <c r="B69" s="70">
        <v>2.1</v>
      </c>
      <c r="C69" s="52">
        <f>inter($B69/10,C$67,'[4]Clin-PDD'!$A$61:$I$67)</f>
        <v>89.878</v>
      </c>
      <c r="D69" s="53">
        <f>inter($B69/10,D$67,'[4]Clin-PDD'!$A$61:$I$67)</f>
        <v>91.39</v>
      </c>
      <c r="E69" s="53">
        <f>inter($B69/10,E$67,'[4]Clin-PDD'!$A$61:$I$67)</f>
        <v>92.44</v>
      </c>
      <c r="F69" s="53">
        <f>inter($B69/10,F$67,'[4]Clin-PDD'!$A$61:$I$67)</f>
        <v>93.111999999999995</v>
      </c>
      <c r="G69" s="53">
        <f>inter($B69/10,G$67,'[4]Clin-PDD'!$A$61:$I$67)</f>
        <v>93.573999999999998</v>
      </c>
      <c r="H69" s="53">
        <f>inter($B69/10,H$67,'[4]Clin-PDD'!$A$61:$I$67)</f>
        <v>93.951999999999998</v>
      </c>
      <c r="I69" s="54">
        <f>inter($B69/10,I$67,'[4]Clin-PDD'!$A$61:$I$67)</f>
        <v>94.414000000000001</v>
      </c>
    </row>
    <row r="70" spans="1:10" ht="15" customHeight="1" x14ac:dyDescent="0.25">
      <c r="A70" s="221"/>
      <c r="B70" s="70">
        <v>2.7</v>
      </c>
      <c r="C70" s="52">
        <f>inter($B70/10,C$67,'[4]Clin-PDD'!$A$61:$I$67)</f>
        <v>86.986000000000004</v>
      </c>
      <c r="D70" s="53">
        <f>inter($B70/10,D$67,'[4]Clin-PDD'!$A$61:$I$67)</f>
        <v>88.93</v>
      </c>
      <c r="E70" s="53">
        <f>inter($B70/10,E$67,'[4]Clin-PDD'!$A$61:$I$67)</f>
        <v>90.28</v>
      </c>
      <c r="F70" s="53">
        <f>inter($B70/10,F$67,'[4]Clin-PDD'!$A$61:$I$67)</f>
        <v>91.143999999999991</v>
      </c>
      <c r="G70" s="53">
        <f>inter($B70/10,G$67,'[4]Clin-PDD'!$A$61:$I$67)</f>
        <v>91.738</v>
      </c>
      <c r="H70" s="53">
        <f>inter($B70/10,H$67,'[4]Clin-PDD'!$A$61:$I$67)</f>
        <v>92.22399999999999</v>
      </c>
      <c r="I70" s="54">
        <f>inter($B70/10,I$67,'[4]Clin-PDD'!$A$61:$I$67)</f>
        <v>92.817999999999998</v>
      </c>
    </row>
    <row r="71" spans="1:10" ht="15" customHeight="1" x14ac:dyDescent="0.25">
      <c r="A71" s="221"/>
      <c r="B71" s="71">
        <v>4.2</v>
      </c>
      <c r="C71" s="55">
        <f>inter($B71/10,C$67,'[4]Clin-PDD'!$A$61:$I$67)</f>
        <v>79.756</v>
      </c>
      <c r="D71" s="56">
        <f>inter($B71/10,D$67,'[4]Clin-PDD'!$A$61:$I$67)</f>
        <v>82.78</v>
      </c>
      <c r="E71" s="56">
        <f>inter($B71/10,E$67,'[4]Clin-PDD'!$A$61:$I$67)</f>
        <v>84.88</v>
      </c>
      <c r="F71" s="56">
        <f>inter($B71/10,F$67,'[4]Clin-PDD'!$A$61:$I$67)</f>
        <v>86.22399999999999</v>
      </c>
      <c r="G71" s="56">
        <f>inter($B71/10,G$67,'[4]Clin-PDD'!$A$61:$I$67)</f>
        <v>87.147999999999996</v>
      </c>
      <c r="H71" s="56">
        <f>inter($B71/10,H$67,'[4]Clin-PDD'!$A$61:$I$67)</f>
        <v>87.903999999999996</v>
      </c>
      <c r="I71" s="57">
        <f>inter($B71/10,I$67,'[4]Clin-PDD'!$A$61:$I$67)</f>
        <v>88.828000000000003</v>
      </c>
    </row>
    <row r="72" spans="1:10" ht="15" customHeight="1" x14ac:dyDescent="0.25">
      <c r="A72" s="221"/>
      <c r="B72" s="71">
        <v>4.5999999999999996</v>
      </c>
      <c r="C72" s="55">
        <f>inter($B72/10,C$67,'[4]Clin-PDD'!$A$61:$I$67)</f>
        <v>77.828000000000003</v>
      </c>
      <c r="D72" s="56">
        <f>inter($B72/10,D$67,'[4]Clin-PDD'!$A$61:$I$67)</f>
        <v>81.14</v>
      </c>
      <c r="E72" s="56">
        <f>inter($B72/10,E$67,'[4]Clin-PDD'!$A$61:$I$67)</f>
        <v>83.44</v>
      </c>
      <c r="F72" s="56">
        <f>inter($B72/10,F$67,'[4]Clin-PDD'!$A$61:$I$67)</f>
        <v>84.911999999999992</v>
      </c>
      <c r="G72" s="56">
        <f>inter($B72/10,G$67,'[4]Clin-PDD'!$A$61:$I$67)</f>
        <v>85.924000000000007</v>
      </c>
      <c r="H72" s="56">
        <f>inter($B72/10,H$67,'[4]Clin-PDD'!$A$61:$I$67)</f>
        <v>86.751999999999995</v>
      </c>
      <c r="I72" s="57">
        <f>inter($B72/10,I$67,'[4]Clin-PDD'!$A$61:$I$67)</f>
        <v>87.76400000000001</v>
      </c>
    </row>
    <row r="73" spans="1:10" x14ac:dyDescent="0.25">
      <c r="A73" s="221"/>
      <c r="B73" s="71">
        <v>5.6</v>
      </c>
      <c r="C73" s="55">
        <f>inter($B73/10,C$67,'[4]Clin-PDD'!$A$61:$I$67)</f>
        <v>73.77600000000001</v>
      </c>
      <c r="D73" s="56">
        <f>inter($B73/10,D$67,'[4]Clin-PDD'!$A$61:$I$67)</f>
        <v>77.628</v>
      </c>
      <c r="E73" s="56">
        <f>inter($B73/10,E$67,'[4]Clin-PDD'!$A$61:$I$67)</f>
        <v>80.332000000000008</v>
      </c>
      <c r="F73" s="56">
        <f>inter($B73/10,F$67,'[4]Clin-PDD'!$A$61:$I$67)</f>
        <v>82.027999999999992</v>
      </c>
      <c r="G73" s="56">
        <f>inter($B73/10,G$67,'[4]Clin-PDD'!$A$61:$I$67)</f>
        <v>83.176000000000002</v>
      </c>
      <c r="H73" s="56">
        <f>inter($B73/10,H$67,'[4]Clin-PDD'!$A$61:$I$67)</f>
        <v>84.111999999999995</v>
      </c>
      <c r="I73" s="57">
        <f>inter($B73/10,I$67,'[4]Clin-PDD'!$A$61:$I$67)</f>
        <v>85.284000000000006</v>
      </c>
    </row>
    <row r="74" spans="1:10" x14ac:dyDescent="0.25">
      <c r="A74" s="221"/>
      <c r="B74" s="44">
        <v>7</v>
      </c>
      <c r="C74" s="58">
        <f>inter($B74/10,C$67,'[4]Clin-PDD'!$A$61:$I$67)</f>
        <v>68.820000000000007</v>
      </c>
      <c r="D74" s="59">
        <f>inter($B74/10,D$67,'[4]Clin-PDD'!$A$61:$I$67)</f>
        <v>73.260000000000005</v>
      </c>
      <c r="E74" s="59">
        <f>inter($B74/10,E$67,'[4]Clin-PDD'!$A$61:$I$67)</f>
        <v>76.44</v>
      </c>
      <c r="F74" s="59">
        <f>inter($B74/10,F$67,'[4]Clin-PDD'!$A$61:$I$67)</f>
        <v>78.36</v>
      </c>
      <c r="G74" s="59">
        <f>inter($B74/10,G$67,'[4]Clin-PDD'!$A$61:$I$67)</f>
        <v>79.62</v>
      </c>
      <c r="H74" s="59">
        <f>inter($B74/10,H$67,'[4]Clin-PDD'!$A$61:$I$67)</f>
        <v>80.64</v>
      </c>
      <c r="I74" s="60">
        <f>inter($B74/10,I$67,'[4]Clin-PDD'!$A$61:$I$67)</f>
        <v>81.98</v>
      </c>
    </row>
    <row r="75" spans="1:10" x14ac:dyDescent="0.25">
      <c r="A75" s="221"/>
      <c r="B75" s="44">
        <v>10</v>
      </c>
      <c r="C75" s="58">
        <f>inter($B75/10,C$67,'[4]Clin-PDD'!$A$61:$I$67)</f>
        <v>58.2</v>
      </c>
      <c r="D75" s="59">
        <f>inter($B75/10,D$67,'[4]Clin-PDD'!$A$61:$I$67)</f>
        <v>63.9</v>
      </c>
      <c r="E75" s="59">
        <f>inter($B75/10,E$67,'[4]Clin-PDD'!$A$61:$I$67)</f>
        <v>68.099999999999994</v>
      </c>
      <c r="F75" s="59">
        <f>inter($B75/10,F$67,'[4]Clin-PDD'!$A$61:$I$67)</f>
        <v>70.5</v>
      </c>
      <c r="G75" s="59">
        <f>inter($B75/10,G$67,'[4]Clin-PDD'!$A$61:$I$67)</f>
        <v>72</v>
      </c>
      <c r="H75" s="59">
        <f>inter($B75/10,H$67,'[4]Clin-PDD'!$A$61:$I$67)</f>
        <v>73.2</v>
      </c>
      <c r="I75" s="60">
        <f>inter($B75/10,I$67,'[4]Clin-PDD'!$A$61:$I$67)</f>
        <v>74.900000000000006</v>
      </c>
    </row>
    <row r="76" spans="1:10" x14ac:dyDescent="0.25">
      <c r="A76" s="221"/>
      <c r="B76" s="44">
        <v>15</v>
      </c>
      <c r="C76" s="58">
        <f>inter($B76/10,C$67,'[4]Clin-PDD'!$A$61:$I$67)</f>
        <v>47.6</v>
      </c>
      <c r="D76" s="59">
        <f>inter($B76/10,D$67,'[4]Clin-PDD'!$A$61:$I$67)</f>
        <v>53</v>
      </c>
      <c r="E76" s="59">
        <f>inter($B76/10,E$67,'[4]Clin-PDD'!$A$61:$I$67)</f>
        <v>57.099999999999994</v>
      </c>
      <c r="F76" s="59">
        <f>inter($B76/10,F$67,'[4]Clin-PDD'!$A$61:$I$67)</f>
        <v>59.7</v>
      </c>
      <c r="G76" s="59">
        <f>inter($B76/10,G$67,'[4]Clin-PDD'!$A$61:$I$67)</f>
        <v>61.45</v>
      </c>
      <c r="H76" s="59">
        <f>inter($B76/10,H$67,'[4]Clin-PDD'!$A$61:$I$67)</f>
        <v>62.8</v>
      </c>
      <c r="I76" s="60">
        <f>inter($B76/10,I$67,'[4]Clin-PDD'!$A$61:$I$67)</f>
        <v>64.650000000000006</v>
      </c>
    </row>
    <row r="77" spans="1:10" x14ac:dyDescent="0.25">
      <c r="A77" s="221"/>
      <c r="B77" s="45">
        <v>20</v>
      </c>
      <c r="C77" s="61">
        <f>inter($B77/10,C$67,'[4]Clin-PDD'!$A$61:$I$67)</f>
        <v>37</v>
      </c>
      <c r="D77" s="62">
        <f>inter($B77/10,D$67,'[4]Clin-PDD'!$A$61:$I$67)</f>
        <v>42.1</v>
      </c>
      <c r="E77" s="62">
        <f>inter($B77/10,E$67,'[4]Clin-PDD'!$A$61:$I$67)</f>
        <v>46.1</v>
      </c>
      <c r="F77" s="62">
        <f>inter($B77/10,F$67,'[4]Clin-PDD'!$A$61:$I$67)</f>
        <v>48.9</v>
      </c>
      <c r="G77" s="62">
        <f>inter($B77/10,G$67,'[4]Clin-PDD'!$A$61:$I$67)</f>
        <v>50.9</v>
      </c>
      <c r="H77" s="62">
        <f>inter($B77/10,H$67,'[4]Clin-PDD'!$A$61:$I$67)</f>
        <v>52.4</v>
      </c>
      <c r="I77" s="63">
        <f>inter($B77/10,I$67,'[4]Clin-PDD'!$A$61:$I$67)</f>
        <v>54.4</v>
      </c>
    </row>
    <row r="78" spans="1:10" x14ac:dyDescent="0.25">
      <c r="A78" s="1"/>
      <c r="B78" s="23"/>
      <c r="C78" s="23"/>
      <c r="D78" s="23"/>
      <c r="E78" s="23"/>
      <c r="F78" s="23"/>
      <c r="G78" s="23"/>
      <c r="H78" s="23"/>
      <c r="I78" s="23"/>
      <c r="J78" s="23"/>
    </row>
    <row r="79" spans="1:10" ht="18" x14ac:dyDescent="0.25">
      <c r="A79" s="40" t="s">
        <v>25</v>
      </c>
      <c r="B79" s="41">
        <v>25</v>
      </c>
      <c r="C79" s="42" t="s">
        <v>26</v>
      </c>
      <c r="D79" s="1"/>
      <c r="E79" s="1"/>
      <c r="F79" s="1"/>
    </row>
    <row r="80" spans="1:10" x14ac:dyDescent="0.25">
      <c r="A80" s="1"/>
      <c r="B80" s="1"/>
      <c r="C80" s="214" t="s">
        <v>27</v>
      </c>
      <c r="D80" s="214"/>
      <c r="E80" s="214"/>
      <c r="F80" s="214"/>
      <c r="G80" s="214"/>
      <c r="H80" s="214"/>
      <c r="I80" s="214"/>
      <c r="J80" s="214"/>
    </row>
    <row r="81" spans="1:10" x14ac:dyDescent="0.25">
      <c r="A81" s="1"/>
      <c r="B81" s="23"/>
      <c r="C81" s="46">
        <v>1</v>
      </c>
      <c r="D81" s="47">
        <f>'[4]Clin-PDD'!D$46</f>
        <v>2</v>
      </c>
      <c r="E81" s="47">
        <f>'[4]Clin-PDD'!E$46</f>
        <v>3</v>
      </c>
      <c r="F81" s="47">
        <f>'[4]Clin-PDD'!F$46</f>
        <v>4</v>
      </c>
      <c r="G81" s="47">
        <f>'[4]Clin-PDD'!G$46</f>
        <v>5</v>
      </c>
      <c r="H81" s="47">
        <f>'[4]Clin-PDD'!H$46</f>
        <v>6</v>
      </c>
      <c r="I81" s="47">
        <f>'[4]Clin-PDD'!I$46</f>
        <v>10</v>
      </c>
      <c r="J81" s="48">
        <f>'[4]Clin-PDD'!J$46</f>
        <v>15</v>
      </c>
    </row>
    <row r="82" spans="1:10" x14ac:dyDescent="0.25">
      <c r="A82" s="221" t="s">
        <v>32</v>
      </c>
      <c r="B82" s="37">
        <f>'[4]Clin-PDD'!$A74</f>
        <v>0</v>
      </c>
      <c r="C82" s="49">
        <f>'[4]Clin-PDD'!B74</f>
        <v>100</v>
      </c>
      <c r="D82" s="50">
        <f>'[4]Clin-PDD'!D74</f>
        <v>100</v>
      </c>
      <c r="E82" s="50">
        <f>'[4]Clin-PDD'!E74</f>
        <v>100</v>
      </c>
      <c r="F82" s="50">
        <f>'[4]Clin-PDD'!F74</f>
        <v>100</v>
      </c>
      <c r="G82" s="50">
        <f>'[4]Clin-PDD'!G74</f>
        <v>100</v>
      </c>
      <c r="H82" s="50">
        <f>'[4]Clin-PDD'!H74</f>
        <v>100</v>
      </c>
      <c r="I82" s="50">
        <f>'[4]Clin-PDD'!I74</f>
        <v>100</v>
      </c>
      <c r="J82" s="51">
        <f>'[4]Clin-PDD'!J74</f>
        <v>100</v>
      </c>
    </row>
    <row r="83" spans="1:10" x14ac:dyDescent="0.25">
      <c r="A83" s="221"/>
      <c r="B83" s="73">
        <v>2.2999999999999998</v>
      </c>
      <c r="C83" s="52">
        <f>inter($B83/10,C$81,'[4]Clin-PDD'!$A$73:$J$79)</f>
        <v>89.742000000000004</v>
      </c>
      <c r="D83" s="53">
        <f>inter($B83/10,D$81,'[4]Clin-PDD'!$A$73:$J$79)</f>
        <v>91.397999999999996</v>
      </c>
      <c r="E83" s="53">
        <f>inter($B83/10,E$81,'[4]Clin-PDD'!$A$73:$J$79)</f>
        <v>92.548000000000002</v>
      </c>
      <c r="F83" s="53">
        <f>inter($B83/10,F$81,'[4]Clin-PDD'!$A$73:$J$79)</f>
        <v>93.284000000000006</v>
      </c>
      <c r="G83" s="53">
        <f>inter($B83/10,G$81,'[4]Clin-PDD'!$A$73:$J$79)</f>
        <v>93.79</v>
      </c>
      <c r="H83" s="53">
        <f>inter($B83/10,H$81,'[4]Clin-PDD'!$A$73:$J$79)</f>
        <v>94.158000000000001</v>
      </c>
      <c r="I83" s="53">
        <f>inter($B83/10,I$81,'[4]Clin-PDD'!$A$73:$J$79)</f>
        <v>94.94</v>
      </c>
      <c r="J83" s="54">
        <f>inter($B83/10,J$81,'[4]Clin-PDD'!$A$73:$J$79)</f>
        <v>95.537999999999997</v>
      </c>
    </row>
    <row r="84" spans="1:10" x14ac:dyDescent="0.25">
      <c r="A84" s="221"/>
      <c r="B84" s="73">
        <v>2.7</v>
      </c>
      <c r="C84" s="52">
        <f>inter($B84/10,C$81,'[4]Clin-PDD'!$A$73:$J$79)</f>
        <v>87.957999999999998</v>
      </c>
      <c r="D84" s="53">
        <f>inter($B84/10,D$81,'[4]Clin-PDD'!$A$73:$J$79)</f>
        <v>89.902000000000001</v>
      </c>
      <c r="E84" s="53">
        <f>inter($B84/10,E$81,'[4]Clin-PDD'!$A$73:$J$79)</f>
        <v>91.251999999999995</v>
      </c>
      <c r="F84" s="53">
        <f>inter($B84/10,F$81,'[4]Clin-PDD'!$A$73:$J$79)</f>
        <v>92.116</v>
      </c>
      <c r="G84" s="53">
        <f>inter($B84/10,G$81,'[4]Clin-PDD'!$A$73:$J$79)</f>
        <v>92.71</v>
      </c>
      <c r="H84" s="53">
        <f>inter($B84/10,H$81,'[4]Clin-PDD'!$A$73:$J$79)</f>
        <v>93.141999999999996</v>
      </c>
      <c r="I84" s="53">
        <f>inter($B84/10,I$81,'[4]Clin-PDD'!$A$73:$J$79)</f>
        <v>94.06</v>
      </c>
      <c r="J84" s="54">
        <f>inter($B84/10,J$81,'[4]Clin-PDD'!$A$73:$J$79)</f>
        <v>94.762</v>
      </c>
    </row>
    <row r="85" spans="1:10" x14ac:dyDescent="0.25">
      <c r="A85" s="221"/>
      <c r="B85" s="73">
        <v>3.3</v>
      </c>
      <c r="C85" s="52">
        <f>inter($B85/10,C$81,'[4]Clin-PDD'!$A$73:$J$79)</f>
        <v>85.282000000000011</v>
      </c>
      <c r="D85" s="53">
        <f>inter($B85/10,D$81,'[4]Clin-PDD'!$A$73:$J$79)</f>
        <v>87.658000000000001</v>
      </c>
      <c r="E85" s="53">
        <f>inter($B85/10,E$81,'[4]Clin-PDD'!$A$73:$J$79)</f>
        <v>89.307999999999993</v>
      </c>
      <c r="F85" s="53">
        <f>inter($B85/10,F$81,'[4]Clin-PDD'!$A$73:$J$79)</f>
        <v>90.364000000000004</v>
      </c>
      <c r="G85" s="53">
        <f>inter($B85/10,G$81,'[4]Clin-PDD'!$A$73:$J$79)</f>
        <v>91.09</v>
      </c>
      <c r="H85" s="53">
        <f>inter($B85/10,H$81,'[4]Clin-PDD'!$A$73:$J$79)</f>
        <v>91.617999999999995</v>
      </c>
      <c r="I85" s="53">
        <f>inter($B85/10,I$81,'[4]Clin-PDD'!$A$73:$J$79)</f>
        <v>92.74</v>
      </c>
      <c r="J85" s="54">
        <f>inter($B85/10,J$81,'[4]Clin-PDD'!$A$73:$J$79)</f>
        <v>93.597999999999999</v>
      </c>
    </row>
    <row r="86" spans="1:10" x14ac:dyDescent="0.25">
      <c r="A86" s="221"/>
      <c r="B86" s="74">
        <v>4.5</v>
      </c>
      <c r="C86" s="55">
        <f>inter($B86/10,C$81,'[4]Clin-PDD'!$A$73:$J$79)</f>
        <v>79.930000000000007</v>
      </c>
      <c r="D86" s="56">
        <f>inter($B86/10,D$81,'[4]Clin-PDD'!$A$73:$J$79)</f>
        <v>83.17</v>
      </c>
      <c r="E86" s="56">
        <f>inter($B86/10,E$81,'[4]Clin-PDD'!$A$73:$J$79)</f>
        <v>85.42</v>
      </c>
      <c r="F86" s="56">
        <f>inter($B86/10,F$81,'[4]Clin-PDD'!$A$73:$J$79)</f>
        <v>86.86</v>
      </c>
      <c r="G86" s="56">
        <f>inter($B86/10,G$81,'[4]Clin-PDD'!$A$73:$J$79)</f>
        <v>87.85</v>
      </c>
      <c r="H86" s="56">
        <f>inter($B86/10,H$81,'[4]Clin-PDD'!$A$73:$J$79)</f>
        <v>88.57</v>
      </c>
      <c r="I86" s="56">
        <f>inter($B86/10,I$81,'[4]Clin-PDD'!$A$73:$J$79)</f>
        <v>90.1</v>
      </c>
      <c r="J86" s="57">
        <f>inter($B86/10,J$81,'[4]Clin-PDD'!$A$73:$J$79)</f>
        <v>91.27</v>
      </c>
    </row>
    <row r="87" spans="1:10" x14ac:dyDescent="0.25">
      <c r="A87" s="221"/>
      <c r="B87" s="74">
        <v>5.6</v>
      </c>
      <c r="C87" s="55">
        <f>inter($B87/10,C$81,'[4]Clin-PDD'!$A$73:$J$79)</f>
        <v>75.756</v>
      </c>
      <c r="D87" s="56">
        <f>inter($B87/10,D$81,'[4]Clin-PDD'!$A$73:$J$79)</f>
        <v>79.572000000000003</v>
      </c>
      <c r="E87" s="56">
        <f>inter($B87/10,E$81,'[4]Clin-PDD'!$A$73:$J$79)</f>
        <v>82.227999999999994</v>
      </c>
      <c r="F87" s="56">
        <f>inter($B87/10,F$81,'[4]Clin-PDD'!$A$73:$J$79)</f>
        <v>83.924000000000007</v>
      </c>
      <c r="G87" s="56">
        <f>inter($B87/10,G$81,'[4]Clin-PDD'!$A$73:$J$79)</f>
        <v>85.096000000000004</v>
      </c>
      <c r="H87" s="56">
        <f>inter($B87/10,H$81,'[4]Clin-PDD'!$A$73:$J$79)</f>
        <v>85.944000000000003</v>
      </c>
      <c r="I87" s="56">
        <f>inter($B87/10,I$81,'[4]Clin-PDD'!$A$73:$J$79)</f>
        <v>87.8</v>
      </c>
      <c r="J87" s="57">
        <f>inter($B87/10,J$81,'[4]Clin-PDD'!$A$73:$J$79)</f>
        <v>89.135999999999996</v>
      </c>
    </row>
    <row r="88" spans="1:10" x14ac:dyDescent="0.25">
      <c r="A88" s="221"/>
      <c r="B88" s="74">
        <v>6.6</v>
      </c>
      <c r="C88" s="55">
        <f>inter($B88/10,C$81,'[4]Clin-PDD'!$A$73:$J$79)</f>
        <v>72.516000000000005</v>
      </c>
      <c r="D88" s="56">
        <f>inter($B88/10,D$81,'[4]Clin-PDD'!$A$73:$J$79)</f>
        <v>76.692000000000007</v>
      </c>
      <c r="E88" s="56">
        <f>inter($B88/10,E$81,'[4]Clin-PDD'!$A$73:$J$79)</f>
        <v>79.608000000000004</v>
      </c>
      <c r="F88" s="56">
        <f>inter($B88/10,F$81,'[4]Clin-PDD'!$A$73:$J$79)</f>
        <v>81.463999999999999</v>
      </c>
      <c r="G88" s="56">
        <f>inter($B88/10,G$81,'[4]Clin-PDD'!$A$73:$J$79)</f>
        <v>82.756</v>
      </c>
      <c r="H88" s="56">
        <f>inter($B88/10,H$81,'[4]Clin-PDD'!$A$73:$J$79)</f>
        <v>83.683999999999997</v>
      </c>
      <c r="I88" s="56">
        <f>inter($B88/10,I$81,'[4]Clin-PDD'!$A$73:$J$79)</f>
        <v>85.8</v>
      </c>
      <c r="J88" s="57">
        <f>inter($B88/10,J$81,'[4]Clin-PDD'!$A$73:$J$79)</f>
        <v>87.195999999999998</v>
      </c>
    </row>
    <row r="89" spans="1:10" x14ac:dyDescent="0.25">
      <c r="A89" s="221"/>
      <c r="B89" s="38">
        <v>10</v>
      </c>
      <c r="C89" s="58">
        <f>inter($B89/10,C$81,'[4]Clin-PDD'!$A$73:$J$79)</f>
        <v>61.5</v>
      </c>
      <c r="D89" s="59">
        <f>inter($B89/10,D$81,'[4]Clin-PDD'!$A$73:$J$79)</f>
        <v>66.900000000000006</v>
      </c>
      <c r="E89" s="59">
        <f>inter($B89/10,E$81,'[4]Clin-PDD'!$A$73:$J$79)</f>
        <v>70.7</v>
      </c>
      <c r="F89" s="59">
        <f>inter($B89/10,F$81,'[4]Clin-PDD'!$A$73:$J$79)</f>
        <v>73.099999999999994</v>
      </c>
      <c r="G89" s="59">
        <f>inter($B89/10,G$81,'[4]Clin-PDD'!$A$73:$J$79)</f>
        <v>74.8</v>
      </c>
      <c r="H89" s="59">
        <f>inter($B89/10,H$81,'[4]Clin-PDD'!$A$73:$J$79)</f>
        <v>76</v>
      </c>
      <c r="I89" s="59">
        <f>inter($B89/10,I$81,'[4]Clin-PDD'!$A$73:$J$79)</f>
        <v>79</v>
      </c>
      <c r="J89" s="60">
        <f>inter($B89/10,J$81,'[4]Clin-PDD'!$A$73:$J$79)</f>
        <v>80.599999999999994</v>
      </c>
    </row>
    <row r="90" spans="1:10" x14ac:dyDescent="0.25">
      <c r="A90" s="221"/>
      <c r="B90" s="38">
        <v>15</v>
      </c>
      <c r="C90" s="58">
        <f>inter($B90/10,C$81,'[4]Clin-PDD'!$A$73:$J$79)</f>
        <v>51</v>
      </c>
      <c r="D90" s="59">
        <f>inter($B90/10,D$81,'[4]Clin-PDD'!$A$73:$J$79)</f>
        <v>56.400000000000006</v>
      </c>
      <c r="E90" s="59">
        <f>inter($B90/10,E$81,'[4]Clin-PDD'!$A$73:$J$79)</f>
        <v>60.5</v>
      </c>
      <c r="F90" s="59">
        <f>inter($B90/10,F$81,'[4]Clin-PDD'!$A$73:$J$79)</f>
        <v>63.15</v>
      </c>
      <c r="G90" s="59">
        <f>inter($B90/10,G$81,'[4]Clin-PDD'!$A$73:$J$79)</f>
        <v>65</v>
      </c>
      <c r="H90" s="59">
        <f>inter($B90/10,H$81,'[4]Clin-PDD'!$A$73:$J$79)</f>
        <v>66.349999999999994</v>
      </c>
      <c r="I90" s="59">
        <f>inter($B90/10,I$81,'[4]Clin-PDD'!$A$73:$J$79)</f>
        <v>69.5</v>
      </c>
      <c r="J90" s="60">
        <f>inter($B90/10,J$81,'[4]Clin-PDD'!$A$73:$J$79)</f>
        <v>71.25</v>
      </c>
    </row>
    <row r="91" spans="1:10" x14ac:dyDescent="0.25">
      <c r="A91" s="221"/>
      <c r="B91" s="38">
        <v>20</v>
      </c>
      <c r="C91" s="58">
        <f>inter($B91/10,C$81,'[4]Clin-PDD'!$A$73:$J$79)</f>
        <v>40.5</v>
      </c>
      <c r="D91" s="59">
        <f>inter($B91/10,D$81,'[4]Clin-PDD'!$A$73:$J$79)</f>
        <v>45.9</v>
      </c>
      <c r="E91" s="59">
        <f>inter($B91/10,E$81,'[4]Clin-PDD'!$A$73:$J$79)</f>
        <v>50.3</v>
      </c>
      <c r="F91" s="59">
        <f>inter($B91/10,F$81,'[4]Clin-PDD'!$A$73:$J$79)</f>
        <v>53.2</v>
      </c>
      <c r="G91" s="59">
        <f>inter($B91/10,G$81,'[4]Clin-PDD'!$A$73:$J$79)</f>
        <v>55.2</v>
      </c>
      <c r="H91" s="59">
        <f>inter($B91/10,H$81,'[4]Clin-PDD'!$A$73:$J$79)</f>
        <v>56.7</v>
      </c>
      <c r="I91" s="59">
        <f>inter($B91/10,I$81,'[4]Clin-PDD'!$A$73:$J$79)</f>
        <v>60</v>
      </c>
      <c r="J91" s="60">
        <f>inter($B91/10,J$81,'[4]Clin-PDD'!$A$73:$J$79)</f>
        <v>61.9</v>
      </c>
    </row>
    <row r="92" spans="1:10" x14ac:dyDescent="0.25">
      <c r="A92" s="221"/>
      <c r="B92" s="39">
        <v>30</v>
      </c>
      <c r="C92" s="61">
        <f>inter($B92/10,C$81,'[4]Clin-PDD'!$A$73:$J$79)</f>
        <v>27.9</v>
      </c>
      <c r="D92" s="62">
        <f>inter($B92/10,D$81,'[4]Clin-PDD'!$A$73:$J$79)</f>
        <v>31.9</v>
      </c>
      <c r="E92" s="62">
        <f>inter($B92/10,E$81,'[4]Clin-PDD'!$A$73:$J$79)</f>
        <v>35.299999999999997</v>
      </c>
      <c r="F92" s="62">
        <f>inter($B92/10,F$81,'[4]Clin-PDD'!$A$73:$J$79)</f>
        <v>38</v>
      </c>
      <c r="G92" s="62">
        <f>inter($B92/10,G$81,'[4]Clin-PDD'!$A$73:$J$79)</f>
        <v>40</v>
      </c>
      <c r="H92" s="62">
        <f>inter($B92/10,H$81,'[4]Clin-PDD'!$A$73:$J$79)</f>
        <v>41.5</v>
      </c>
      <c r="I92" s="62">
        <f>inter($B92/10,I$81,'[4]Clin-PDD'!$A$73:$J$79)</f>
        <v>45.2</v>
      </c>
      <c r="J92" s="63">
        <f>inter($B92/10,J$81,'[4]Clin-PDD'!$A$73:$J$79)</f>
        <v>47.6</v>
      </c>
    </row>
    <row r="95" spans="1:10" ht="18" x14ac:dyDescent="0.25">
      <c r="A95" s="2" t="s">
        <v>33</v>
      </c>
    </row>
    <row r="97" spans="1:11" ht="18.75" x14ac:dyDescent="0.3">
      <c r="A97" s="222" t="s">
        <v>30</v>
      </c>
      <c r="B97" s="223"/>
      <c r="C97" s="223"/>
      <c r="D97" s="223"/>
      <c r="E97" s="223"/>
      <c r="F97" s="223"/>
      <c r="G97" s="223"/>
      <c r="H97" s="223"/>
      <c r="I97" s="223"/>
      <c r="J97" s="224"/>
      <c r="K97" s="114"/>
    </row>
    <row r="99" spans="1:11" ht="18" x14ac:dyDescent="0.25">
      <c r="A99" s="32" t="s">
        <v>25</v>
      </c>
      <c r="B99" s="33">
        <v>15</v>
      </c>
      <c r="C99" s="34" t="s">
        <v>26</v>
      </c>
      <c r="D99" s="1"/>
      <c r="E99" s="1"/>
      <c r="F99" s="1"/>
    </row>
    <row r="100" spans="1:11" x14ac:dyDescent="0.25">
      <c r="A100" s="1"/>
      <c r="B100" s="1"/>
      <c r="C100" s="77" t="s">
        <v>27</v>
      </c>
      <c r="D100" s="77"/>
      <c r="E100" s="77"/>
      <c r="F100" s="77"/>
      <c r="G100" s="77"/>
      <c r="H100" s="77"/>
      <c r="I100" s="77"/>
    </row>
    <row r="101" spans="1:11" x14ac:dyDescent="0.25">
      <c r="A101" s="1"/>
      <c r="B101" s="23"/>
      <c r="C101" s="46">
        <v>1</v>
      </c>
      <c r="D101" s="47">
        <f>'[4]Clin-PDD'!D$88</f>
        <v>2</v>
      </c>
      <c r="E101" s="47">
        <f>'[4]Clin-PDD'!E$88</f>
        <v>3</v>
      </c>
      <c r="F101" s="47">
        <f>'[4]Clin-PDD'!F$88</f>
        <v>4</v>
      </c>
      <c r="G101" s="47">
        <f>'[4]Clin-PDD'!G$88</f>
        <v>5</v>
      </c>
      <c r="H101" s="47">
        <f>'[4]Clin-PDD'!H$88</f>
        <v>6</v>
      </c>
      <c r="I101" s="48">
        <f>'[4]Clin-PDD'!I$88</f>
        <v>8</v>
      </c>
      <c r="J101" s="23"/>
    </row>
    <row r="102" spans="1:11" ht="15" customHeight="1" x14ac:dyDescent="0.25">
      <c r="A102" s="221" t="s">
        <v>32</v>
      </c>
      <c r="B102" s="43">
        <f>'[4]Clin-PDD'!$A89</f>
        <v>0</v>
      </c>
      <c r="C102" s="49">
        <f>'[4]Clin-PDD'!B89</f>
        <v>100</v>
      </c>
      <c r="D102" s="50">
        <f>'[4]Clin-PDD'!D89</f>
        <v>100</v>
      </c>
      <c r="E102" s="50">
        <f>'[4]Clin-PDD'!E89</f>
        <v>100</v>
      </c>
      <c r="F102" s="50">
        <f>'[4]Clin-PDD'!F89</f>
        <v>100</v>
      </c>
      <c r="G102" s="50">
        <f>'[4]Clin-PDD'!G89</f>
        <v>100</v>
      </c>
      <c r="H102" s="50">
        <f>'[4]Clin-PDD'!H89</f>
        <v>100</v>
      </c>
      <c r="I102" s="51">
        <f>'[4]Clin-PDD'!I89</f>
        <v>100</v>
      </c>
    </row>
    <row r="103" spans="1:11" x14ac:dyDescent="0.25">
      <c r="A103" s="221"/>
      <c r="B103" s="73">
        <v>2.38</v>
      </c>
      <c r="C103" s="52">
        <f>inter($B103/10,C$101,'[4]Clin-PDD'!$A$88:$I$94)</f>
        <v>89.515624000000003</v>
      </c>
      <c r="D103" s="53">
        <f>inter($B103/10,D$101,'[4]Clin-PDD'!$A$88:$I$94)</f>
        <v>91.171152000000006</v>
      </c>
      <c r="E103" s="53">
        <f>inter($B103/10,E$101,'[4]Clin-PDD'!$A$88:$I$94)</f>
        <v>92.390188000000009</v>
      </c>
      <c r="F103" s="53">
        <f>inter($B103/10,F$101,'[4]Clin-PDD'!$A$88:$I$94)</f>
        <v>93.151787999999996</v>
      </c>
      <c r="G103" s="53">
        <f>inter($B103/10,G$101,'[4]Clin-PDD'!$A$88:$I$94)</f>
        <v>93.675387999999998</v>
      </c>
      <c r="H103" s="53">
        <f>inter($B103/10,H$101,'[4]Clin-PDD'!$A$88:$I$94)</f>
        <v>94.045715999999999</v>
      </c>
      <c r="I103" s="54">
        <f>inter($B103/10,I$101,'[4]Clin-PDD'!$A$88:$I$94)</f>
        <v>94.511244000000005</v>
      </c>
    </row>
    <row r="104" spans="1:11" x14ac:dyDescent="0.25">
      <c r="A104" s="221"/>
      <c r="B104" s="73">
        <v>3</v>
      </c>
      <c r="C104" s="52">
        <f>inter($B104/10,C$101,'[4]Clin-PDD'!$A$88:$I$94)</f>
        <v>86.784400000000005</v>
      </c>
      <c r="D104" s="53">
        <f>inter($B104/10,D$101,'[4]Clin-PDD'!$A$88:$I$94)</f>
        <v>88.871200000000002</v>
      </c>
      <c r="E104" s="53">
        <f>inter($B104/10,E$101,'[4]Clin-PDD'!$A$88:$I$94)</f>
        <v>90.407800000000009</v>
      </c>
      <c r="F104" s="53">
        <f>inter($B104/10,F$101,'[4]Clin-PDD'!$A$88:$I$94)</f>
        <v>91.367800000000003</v>
      </c>
      <c r="G104" s="53">
        <f>inter($B104/10,G$101,'[4]Clin-PDD'!$A$88:$I$94)</f>
        <v>92.027799999999999</v>
      </c>
      <c r="H104" s="53">
        <f>inter($B104/10,H$101,'[4]Clin-PDD'!$A$88:$I$94)</f>
        <v>92.494600000000005</v>
      </c>
      <c r="I104" s="54">
        <f>inter($B104/10,I$101,'[4]Clin-PDD'!$A$88:$I$94)</f>
        <v>93.081400000000002</v>
      </c>
    </row>
    <row r="105" spans="1:11" x14ac:dyDescent="0.25">
      <c r="A105" s="221"/>
      <c r="B105" s="73">
        <v>3.7</v>
      </c>
      <c r="C105" s="52">
        <f>inter($B105/10,C$101,'[4]Clin-PDD'!$A$88:$I$94)</f>
        <v>83.700760000000002</v>
      </c>
      <c r="D105" s="53">
        <f>inter($B105/10,D$101,'[4]Clin-PDD'!$A$88:$I$94)</f>
        <v>86.274479999999997</v>
      </c>
      <c r="E105" s="53">
        <f>inter($B105/10,E$101,'[4]Clin-PDD'!$A$88:$I$94)</f>
        <v>88.169620000000009</v>
      </c>
      <c r="F105" s="53">
        <f>inter($B105/10,F$101,'[4]Clin-PDD'!$A$88:$I$94)</f>
        <v>89.353620000000006</v>
      </c>
      <c r="G105" s="53">
        <f>inter($B105/10,G$101,'[4]Clin-PDD'!$A$88:$I$94)</f>
        <v>90.167619999999999</v>
      </c>
      <c r="H105" s="53">
        <f>inter($B105/10,H$101,'[4]Clin-PDD'!$A$88:$I$94)</f>
        <v>90.743340000000003</v>
      </c>
      <c r="I105" s="54">
        <f>inter($B105/10,I$101,'[4]Clin-PDD'!$A$88:$I$94)</f>
        <v>91.467060000000004</v>
      </c>
    </row>
    <row r="106" spans="1:11" x14ac:dyDescent="0.25">
      <c r="A106" s="221"/>
      <c r="B106" s="71">
        <v>4.5999999999999996</v>
      </c>
      <c r="C106" s="55">
        <f>inter($B106/10,C$101,'[4]Clin-PDD'!$A$88:$I$94)</f>
        <v>79.736080000000001</v>
      </c>
      <c r="D106" s="56">
        <f>inter($B106/10,D$101,'[4]Clin-PDD'!$A$88:$I$94)</f>
        <v>82.935839999999999</v>
      </c>
      <c r="E106" s="56">
        <f>inter($B106/10,E$101,'[4]Clin-PDD'!$A$88:$I$94)</f>
        <v>85.291960000000003</v>
      </c>
      <c r="F106" s="56">
        <f>inter($B106/10,F$101,'[4]Clin-PDD'!$A$88:$I$94)</f>
        <v>86.763959999999997</v>
      </c>
      <c r="G106" s="56">
        <f>inter($B106/10,G$101,'[4]Clin-PDD'!$A$88:$I$94)</f>
        <v>87.775959999999998</v>
      </c>
      <c r="H106" s="56">
        <f>inter($B106/10,H$101,'[4]Clin-PDD'!$A$88:$I$94)</f>
        <v>88.491720000000001</v>
      </c>
      <c r="I106" s="57">
        <f>inter($B106/10,I$101,'[4]Clin-PDD'!$A$88:$I$94)</f>
        <v>89.391480000000001</v>
      </c>
    </row>
    <row r="107" spans="1:11" x14ac:dyDescent="0.25">
      <c r="A107" s="221"/>
      <c r="B107" s="71">
        <v>5.4</v>
      </c>
      <c r="C107" s="55">
        <f>inter($B107/10,C$101,'[4]Clin-PDD'!$A$88:$I$94)</f>
        <v>76.660480000000007</v>
      </c>
      <c r="D107" s="56">
        <f>inter($B107/10,D$101,'[4]Clin-PDD'!$A$88:$I$94)</f>
        <v>80.272319999999993</v>
      </c>
      <c r="E107" s="56">
        <f>inter($B107/10,E$101,'[4]Clin-PDD'!$A$88:$I$94)</f>
        <v>82.935159999999996</v>
      </c>
      <c r="F107" s="56">
        <f>inter($B107/10,F$101,'[4]Clin-PDD'!$A$88:$I$94)</f>
        <v>84.599159999999998</v>
      </c>
      <c r="G107" s="56">
        <f>inter($B107/10,G$101,'[4]Clin-PDD'!$A$88:$I$94)</f>
        <v>85.736039999999988</v>
      </c>
      <c r="H107" s="56">
        <f>inter($B107/10,H$101,'[4]Clin-PDD'!$A$88:$I$94)</f>
        <v>86.547799999999995</v>
      </c>
      <c r="I107" s="57">
        <f>inter($B107/10,I$101,'[4]Clin-PDD'!$A$88:$I$94)</f>
        <v>87.578679999999991</v>
      </c>
    </row>
    <row r="108" spans="1:11" x14ac:dyDescent="0.25">
      <c r="A108" s="221"/>
      <c r="B108" s="71">
        <v>6.6</v>
      </c>
      <c r="C108" s="55">
        <f>inter($B108/10,C$101,'[4]Clin-PDD'!$A$88:$I$94)</f>
        <v>72.719920000000002</v>
      </c>
      <c r="D108" s="56">
        <f>inter($B108/10,D$101,'[4]Clin-PDD'!$A$88:$I$94)</f>
        <v>76.733280000000008</v>
      </c>
      <c r="E108" s="56">
        <f>inter($B108/10,E$101,'[4]Clin-PDD'!$A$88:$I$94)</f>
        <v>79.701639999999998</v>
      </c>
      <c r="F108" s="56">
        <f>inter($B108/10,F$101,'[4]Clin-PDD'!$A$88:$I$94)</f>
        <v>81.557640000000006</v>
      </c>
      <c r="G108" s="56">
        <f>inter($B108/10,G$101,'[4]Clin-PDD'!$A$88:$I$94)</f>
        <v>82.805160000000001</v>
      </c>
      <c r="H108" s="56">
        <f>inter($B108/10,H$101,'[4]Clin-PDD'!$A$88:$I$94)</f>
        <v>83.718199999999996</v>
      </c>
      <c r="I108" s="57">
        <f>inter($B108/10,I$101,'[4]Clin-PDD'!$A$88:$I$94)</f>
        <v>84.907719999999998</v>
      </c>
    </row>
    <row r="109" spans="1:11" x14ac:dyDescent="0.25">
      <c r="A109" s="221"/>
      <c r="B109" s="44">
        <v>10</v>
      </c>
      <c r="C109" s="58">
        <f>inter($B109/10,C$101,'[4]Clin-PDD'!$A$88:$I$94)</f>
        <v>61.555</v>
      </c>
      <c r="D109" s="59">
        <f>inter($B109/10,D$101,'[4]Clin-PDD'!$A$88:$I$94)</f>
        <v>66.706000000000003</v>
      </c>
      <c r="E109" s="59">
        <f>inter($B109/10,E$101,'[4]Clin-PDD'!$A$88:$I$94)</f>
        <v>70.539999999999992</v>
      </c>
      <c r="F109" s="59">
        <f>inter($B109/10,F$101,'[4]Clin-PDD'!$A$88:$I$94)</f>
        <v>72.94</v>
      </c>
      <c r="G109" s="59">
        <f>inter($B109/10,G$101,'[4]Clin-PDD'!$A$88:$I$94)</f>
        <v>74.500999999999991</v>
      </c>
      <c r="H109" s="59">
        <f>inter($B109/10,H$101,'[4]Clin-PDD'!$A$88:$I$94)</f>
        <v>75.700999999999993</v>
      </c>
      <c r="I109" s="60">
        <f>inter($B109/10,I$101,'[4]Clin-PDD'!$A$88:$I$94)</f>
        <v>77.34</v>
      </c>
    </row>
    <row r="110" spans="1:11" x14ac:dyDescent="0.25">
      <c r="A110" s="221"/>
      <c r="B110" s="44">
        <v>15</v>
      </c>
      <c r="C110" s="58">
        <f>inter($B110/10,C$101,'[4]Clin-PDD'!$A$88:$I$94)</f>
        <v>50.680499999999995</v>
      </c>
      <c r="D110" s="59">
        <f>inter($B110/10,D$101,'[4]Clin-PDD'!$A$88:$I$94)</f>
        <v>56.019500000000001</v>
      </c>
      <c r="E110" s="59">
        <f>inter($B110/10,E$101,'[4]Clin-PDD'!$A$88:$I$94)</f>
        <v>59.905999999999992</v>
      </c>
      <c r="F110" s="59">
        <f>inter($B110/10,F$101,'[4]Clin-PDD'!$A$88:$I$94)</f>
        <v>62.506</v>
      </c>
      <c r="G110" s="59">
        <f>inter($B110/10,G$101,'[4]Clin-PDD'!$A$88:$I$94)</f>
        <v>64.347499999999997</v>
      </c>
      <c r="H110" s="59">
        <f>inter($B110/10,H$101,'[4]Clin-PDD'!$A$88:$I$94)</f>
        <v>65.758499999999998</v>
      </c>
      <c r="I110" s="60">
        <f>inter($B110/10,I$101,'[4]Clin-PDD'!$A$88:$I$94)</f>
        <v>67.669499999999999</v>
      </c>
    </row>
    <row r="111" spans="1:11" x14ac:dyDescent="0.25">
      <c r="A111" s="221"/>
      <c r="B111" s="44">
        <v>25</v>
      </c>
      <c r="C111" s="58">
        <f>inter($B111/10,C$101,'[4]Clin-PDD'!$A$88:$I$94)</f>
        <v>33.355999999999995</v>
      </c>
      <c r="D111" s="59">
        <f>inter($B111/10,D$101,'[4]Clin-PDD'!$A$88:$I$94)</f>
        <v>38.130499999999998</v>
      </c>
      <c r="E111" s="59">
        <f>inter($B111/10,E$101,'[4]Clin-PDD'!$A$88:$I$94)</f>
        <v>41.849999999999994</v>
      </c>
      <c r="F111" s="59">
        <f>inter($B111/10,F$101,'[4]Clin-PDD'!$A$88:$I$94)</f>
        <v>44.522000000000006</v>
      </c>
      <c r="G111" s="59">
        <f>inter($B111/10,G$101,'[4]Clin-PDD'!$A$88:$I$94)</f>
        <v>46.624499999999998</v>
      </c>
      <c r="H111" s="59">
        <f>inter($B111/10,H$101,'[4]Clin-PDD'!$A$88:$I$94)</f>
        <v>48.227000000000004</v>
      </c>
      <c r="I111" s="60">
        <f>inter($B111/10,I$101,'[4]Clin-PDD'!$A$88:$I$94)</f>
        <v>50.51</v>
      </c>
    </row>
    <row r="112" spans="1:11" x14ac:dyDescent="0.25">
      <c r="A112" s="221"/>
      <c r="B112" s="45">
        <v>35</v>
      </c>
      <c r="C112" s="61">
        <f>inter($B112/10,C$101,'[4]Clin-PDD'!$A$88:$I$94)</f>
        <v>22.853499999999997</v>
      </c>
      <c r="D112" s="62">
        <f>inter($B112/10,D$101,'[4]Clin-PDD'!$A$88:$I$94)</f>
        <v>26.3645</v>
      </c>
      <c r="E112" s="62">
        <f>inter($B112/10,E$101,'[4]Clin-PDD'!$A$88:$I$94)</f>
        <v>29.325499999999998</v>
      </c>
      <c r="F112" s="62">
        <f>inter($B112/10,F$101,'[4]Clin-PDD'!$A$88:$I$94)</f>
        <v>31.539000000000001</v>
      </c>
      <c r="G112" s="62">
        <f>inter($B112/10,G$101,'[4]Clin-PDD'!$A$88:$I$94)</f>
        <v>33.441499999999998</v>
      </c>
      <c r="H112" s="62">
        <f>inter($B112/10,H$101,'[4]Clin-PDD'!$A$88:$I$94)</f>
        <v>34.944000000000003</v>
      </c>
      <c r="I112" s="63">
        <f>inter($B112/10,I$101,'[4]Clin-PDD'!$A$88:$I$94)</f>
        <v>37.338000000000001</v>
      </c>
    </row>
    <row r="113" spans="1:10" x14ac:dyDescent="0.25">
      <c r="A113" s="1"/>
      <c r="B113" s="23"/>
      <c r="C113" s="23"/>
      <c r="D113" s="23"/>
      <c r="E113" s="23"/>
      <c r="F113" s="23"/>
      <c r="G113" s="23"/>
      <c r="H113" s="23"/>
      <c r="I113" s="23"/>
      <c r="J113" s="23"/>
    </row>
    <row r="114" spans="1:10" ht="18" x14ac:dyDescent="0.25">
      <c r="A114" s="40" t="s">
        <v>25</v>
      </c>
      <c r="B114" s="41">
        <v>25</v>
      </c>
      <c r="C114" s="42" t="s">
        <v>26</v>
      </c>
      <c r="D114" s="1"/>
      <c r="E114" s="1"/>
      <c r="F114" s="1"/>
    </row>
    <row r="115" spans="1:10" x14ac:dyDescent="0.25">
      <c r="A115" s="1"/>
      <c r="B115" s="1"/>
      <c r="C115" s="214" t="s">
        <v>27</v>
      </c>
      <c r="D115" s="214"/>
      <c r="E115" s="214"/>
      <c r="F115" s="214"/>
      <c r="G115" s="214"/>
      <c r="H115" s="214"/>
      <c r="I115" s="214"/>
      <c r="J115" s="214"/>
    </row>
    <row r="116" spans="1:10" x14ac:dyDescent="0.25">
      <c r="A116" s="1"/>
      <c r="B116" s="23"/>
      <c r="C116" s="46">
        <v>1</v>
      </c>
      <c r="D116" s="47">
        <f>'[4]Clin-PDD'!D$100</f>
        <v>2</v>
      </c>
      <c r="E116" s="47">
        <f>'[4]Clin-PDD'!E$100</f>
        <v>3</v>
      </c>
      <c r="F116" s="47">
        <f>'[4]Clin-PDD'!F$100</f>
        <v>4</v>
      </c>
      <c r="G116" s="47">
        <f>'[4]Clin-PDD'!G$100</f>
        <v>5</v>
      </c>
      <c r="H116" s="47">
        <f>'[4]Clin-PDD'!H$100</f>
        <v>6</v>
      </c>
      <c r="I116" s="47">
        <f>'[4]Clin-PDD'!I$100</f>
        <v>10</v>
      </c>
      <c r="J116" s="48">
        <f>'[4]Clin-PDD'!J$100</f>
        <v>15</v>
      </c>
    </row>
    <row r="117" spans="1:10" ht="15" customHeight="1" x14ac:dyDescent="0.25">
      <c r="A117" s="221" t="s">
        <v>32</v>
      </c>
      <c r="B117" s="43">
        <f>'[4]Clin-PDD'!$A101</f>
        <v>0</v>
      </c>
      <c r="C117" s="49">
        <f>'[4]Clin-PDD'!B101</f>
        <v>100</v>
      </c>
      <c r="D117" s="50">
        <f>'[4]Clin-PDD'!D101</f>
        <v>100</v>
      </c>
      <c r="E117" s="50">
        <f>'[4]Clin-PDD'!E101</f>
        <v>100</v>
      </c>
      <c r="F117" s="50">
        <f>'[4]Clin-PDD'!F101</f>
        <v>100</v>
      </c>
      <c r="G117" s="50">
        <f>'[4]Clin-PDD'!G101</f>
        <v>100</v>
      </c>
      <c r="H117" s="50">
        <f>'[4]Clin-PDD'!H101</f>
        <v>100</v>
      </c>
      <c r="I117" s="50">
        <f>'[4]Clin-PDD'!I101</f>
        <v>100</v>
      </c>
      <c r="J117" s="51">
        <f>'[4]Clin-PDD'!J101</f>
        <v>100</v>
      </c>
    </row>
    <row r="118" spans="1:10" x14ac:dyDescent="0.25">
      <c r="A118" s="221"/>
      <c r="B118" s="73">
        <v>2.6</v>
      </c>
      <c r="C118" s="52">
        <f>inter($B118/10,C$116,'[4]Clin-PDD'!$A$100:$J$106)</f>
        <v>89.672799999999995</v>
      </c>
      <c r="D118" s="53">
        <f>inter($B118/10,D$116,'[4]Clin-PDD'!$A$100:$J$106)</f>
        <v>91.417920000000009</v>
      </c>
      <c r="E118" s="53">
        <f>inter($B118/10,E$116,'[4]Clin-PDD'!$A$100:$J$106)</f>
        <v>92.686199999999999</v>
      </c>
      <c r="F118" s="53">
        <f>inter($B118/10,F$116,'[4]Clin-PDD'!$A$100:$J$106)</f>
        <v>93.54992</v>
      </c>
      <c r="G118" s="53">
        <f>inter($B118/10,G$116,'[4]Clin-PDD'!$A$100:$J$106)</f>
        <v>94.090199999999996</v>
      </c>
      <c r="H118" s="53">
        <f>inter($B118/10,H$116,'[4]Clin-PDD'!$A$100:$J$106)</f>
        <v>94.47448</v>
      </c>
      <c r="I118" s="53">
        <f>inter($B118/10,I$116,'[4]Clin-PDD'!$A$100:$J$106)</f>
        <v>95.29504</v>
      </c>
      <c r="J118" s="54">
        <f>inter($B118/10,J$116,'[4]Clin-PDD'!$A$100:$J$106)</f>
        <v>95.875879999999995</v>
      </c>
    </row>
    <row r="119" spans="1:10" x14ac:dyDescent="0.25">
      <c r="A119" s="221"/>
      <c r="B119" s="73">
        <v>3.18</v>
      </c>
      <c r="C119" s="52">
        <f>inter($B119/10,C$116,'[4]Clin-PDD'!$A$100:$J$106)</f>
        <v>87.369039999999998</v>
      </c>
      <c r="D119" s="53">
        <f>inter($B119/10,D$116,'[4]Clin-PDD'!$A$100:$J$106)</f>
        <v>89.503456</v>
      </c>
      <c r="E119" s="53">
        <f>inter($B119/10,E$116,'[4]Clin-PDD'!$A$100:$J$106)</f>
        <v>91.054659999999998</v>
      </c>
      <c r="F119" s="53">
        <f>inter($B119/10,F$116,'[4]Clin-PDD'!$A$100:$J$106)</f>
        <v>92.111056000000005</v>
      </c>
      <c r="G119" s="53">
        <f>inter($B119/10,G$116,'[4]Clin-PDD'!$A$100:$J$106)</f>
        <v>92.771860000000004</v>
      </c>
      <c r="H119" s="53">
        <f>inter($B119/10,H$116,'[4]Clin-PDD'!$A$100:$J$106)</f>
        <v>93.241863999999993</v>
      </c>
      <c r="I119" s="53">
        <f>inter($B119/10,I$116,'[4]Clin-PDD'!$A$100:$J$106)</f>
        <v>94.245471999999992</v>
      </c>
      <c r="J119" s="54">
        <f>inter($B119/10,J$116,'[4]Clin-PDD'!$A$100:$J$106)</f>
        <v>94.955883999999998</v>
      </c>
    </row>
    <row r="120" spans="1:10" x14ac:dyDescent="0.25">
      <c r="A120" s="221"/>
      <c r="B120" s="73">
        <v>4.2</v>
      </c>
      <c r="C120" s="52">
        <f>inter($B120/10,C$116,'[4]Clin-PDD'!$A$100:$J$106)</f>
        <v>83.317599999999999</v>
      </c>
      <c r="D120" s="53">
        <f>inter($B120/10,D$116,'[4]Clin-PDD'!$A$100:$J$106)</f>
        <v>86.13664</v>
      </c>
      <c r="E120" s="53">
        <f>inter($B120/10,E$116,'[4]Clin-PDD'!$A$100:$J$106)</f>
        <v>88.185400000000001</v>
      </c>
      <c r="F120" s="53">
        <f>inter($B120/10,F$116,'[4]Clin-PDD'!$A$100:$J$106)</f>
        <v>89.580640000000002</v>
      </c>
      <c r="G120" s="53">
        <f>inter($B120/10,G$116,'[4]Clin-PDD'!$A$100:$J$106)</f>
        <v>90.453400000000002</v>
      </c>
      <c r="H120" s="53">
        <f>inter($B120/10,H$116,'[4]Clin-PDD'!$A$100:$J$106)</f>
        <v>91.074159999999992</v>
      </c>
      <c r="I120" s="53">
        <f>inter($B120/10,I$116,'[4]Clin-PDD'!$A$100:$J$106)</f>
        <v>92.399680000000004</v>
      </c>
      <c r="J120" s="54">
        <f>inter($B120/10,J$116,'[4]Clin-PDD'!$A$100:$J$106)</f>
        <v>93.337959999999995</v>
      </c>
    </row>
    <row r="121" spans="1:10" x14ac:dyDescent="0.25">
      <c r="A121" s="221"/>
      <c r="B121" s="71">
        <v>5.2</v>
      </c>
      <c r="C121" s="55">
        <f>inter($B121/10,C$116,'[4]Clin-PDD'!$A$100:$J$106)</f>
        <v>79.523719999999997</v>
      </c>
      <c r="D121" s="56">
        <f>inter($B121/10,D$116,'[4]Clin-PDD'!$A$100:$J$106)</f>
        <v>82.956600000000009</v>
      </c>
      <c r="E121" s="56">
        <f>inter($B121/10,E$116,'[4]Clin-PDD'!$A$100:$J$106)</f>
        <v>85.452480000000008</v>
      </c>
      <c r="F121" s="56">
        <f>inter($B121/10,F$116,'[4]Clin-PDD'!$A$100:$J$106)</f>
        <v>87.140600000000006</v>
      </c>
      <c r="G121" s="56">
        <f>inter($B121/10,G$116,'[4]Clin-PDD'!$A$100:$J$106)</f>
        <v>88.203600000000009</v>
      </c>
      <c r="H121" s="56">
        <f>inter($B121/10,H$116,'[4]Clin-PDD'!$A$100:$J$106)</f>
        <v>88.961039999999997</v>
      </c>
      <c r="I121" s="56">
        <f>inter($B121/10,I$116,'[4]Clin-PDD'!$A$100:$J$106)</f>
        <v>90.591039999999992</v>
      </c>
      <c r="J121" s="57">
        <f>inter($B121/10,J$116,'[4]Clin-PDD'!$A$100:$J$106)</f>
        <v>91.734679999999997</v>
      </c>
    </row>
    <row r="122" spans="1:10" x14ac:dyDescent="0.25">
      <c r="A122" s="221"/>
      <c r="B122" s="71">
        <v>6.2</v>
      </c>
      <c r="C122" s="55">
        <f>inter($B122/10,C$116,'[4]Clin-PDD'!$A$100:$J$106)</f>
        <v>76.442319999999995</v>
      </c>
      <c r="D122" s="56">
        <f>inter($B122/10,D$116,'[4]Clin-PDD'!$A$100:$J$106)</f>
        <v>80.259600000000006</v>
      </c>
      <c r="E122" s="56">
        <f>inter($B122/10,E$116,'[4]Clin-PDD'!$A$100:$J$106)</f>
        <v>83.039879999999997</v>
      </c>
      <c r="F122" s="56">
        <f>inter($B122/10,F$116,'[4]Clin-PDD'!$A$100:$J$106)</f>
        <v>84.863600000000005</v>
      </c>
      <c r="G122" s="56">
        <f>inter($B122/10,G$116,'[4]Clin-PDD'!$A$100:$J$106)</f>
        <v>86.046599999999998</v>
      </c>
      <c r="H122" s="56">
        <f>inter($B122/10,H$116,'[4]Clin-PDD'!$A$100:$J$106)</f>
        <v>86.896239999999992</v>
      </c>
      <c r="I122" s="56">
        <f>inter($B122/10,I$116,'[4]Clin-PDD'!$A$100:$J$106)</f>
        <v>88.786239999999992</v>
      </c>
      <c r="J122" s="57">
        <f>inter($B122/10,J$116,'[4]Clin-PDD'!$A$100:$J$106)</f>
        <v>90.063079999999999</v>
      </c>
    </row>
    <row r="123" spans="1:10" x14ac:dyDescent="0.25">
      <c r="A123" s="221"/>
      <c r="B123" s="71">
        <v>7.6</v>
      </c>
      <c r="C123" s="55">
        <f>inter($B123/10,C$116,'[4]Clin-PDD'!$A$100:$J$106)</f>
        <v>72.128360000000001</v>
      </c>
      <c r="D123" s="56">
        <f>inter($B123/10,D$116,'[4]Clin-PDD'!$A$100:$J$106)</f>
        <v>76.483800000000002</v>
      </c>
      <c r="E123" s="56">
        <f>inter($B123/10,E$116,'[4]Clin-PDD'!$A$100:$J$106)</f>
        <v>79.662239999999997</v>
      </c>
      <c r="F123" s="56">
        <f>inter($B123/10,F$116,'[4]Clin-PDD'!$A$100:$J$106)</f>
        <v>81.675799999999995</v>
      </c>
      <c r="G123" s="56">
        <f>inter($B123/10,G$116,'[4]Clin-PDD'!$A$100:$J$106)</f>
        <v>83.026799999999994</v>
      </c>
      <c r="H123" s="56">
        <f>inter($B123/10,H$116,'[4]Clin-PDD'!$A$100:$J$106)</f>
        <v>84.00551999999999</v>
      </c>
      <c r="I123" s="56">
        <f>inter($B123/10,I$116,'[4]Clin-PDD'!$A$100:$J$106)</f>
        <v>86.259519999999995</v>
      </c>
      <c r="J123" s="57">
        <f>inter($B123/10,J$116,'[4]Clin-PDD'!$A$100:$J$106)</f>
        <v>87.722840000000005</v>
      </c>
    </row>
    <row r="124" spans="1:10" x14ac:dyDescent="0.25">
      <c r="A124" s="221"/>
      <c r="B124" s="44">
        <v>10</v>
      </c>
      <c r="C124" s="58">
        <f>inter($B124/10,C$116,'[4]Clin-PDD'!$A$100:$J$106)</f>
        <v>64.733000000000004</v>
      </c>
      <c r="D124" s="59">
        <f>inter($B124/10,D$116,'[4]Clin-PDD'!$A$100:$J$106)</f>
        <v>70.010999999999996</v>
      </c>
      <c r="E124" s="59">
        <f>inter($B124/10,E$116,'[4]Clin-PDD'!$A$100:$J$106)</f>
        <v>73.872</v>
      </c>
      <c r="F124" s="59">
        <f>inter($B124/10,F$116,'[4]Clin-PDD'!$A$100:$J$106)</f>
        <v>76.210999999999999</v>
      </c>
      <c r="G124" s="59">
        <f>inter($B124/10,G$116,'[4]Clin-PDD'!$A$100:$J$106)</f>
        <v>77.849999999999994</v>
      </c>
      <c r="H124" s="59">
        <f>inter($B124/10,H$116,'[4]Clin-PDD'!$A$100:$J$106)</f>
        <v>79.05</v>
      </c>
      <c r="I124" s="59">
        <f>inter($B124/10,I$116,'[4]Clin-PDD'!$A$100:$J$106)</f>
        <v>81.927999999999997</v>
      </c>
      <c r="J124" s="60">
        <f>inter($B124/10,J$116,'[4]Clin-PDD'!$A$100:$J$106)</f>
        <v>83.710999999999999</v>
      </c>
    </row>
    <row r="125" spans="1:10" x14ac:dyDescent="0.25">
      <c r="A125" s="221"/>
      <c r="B125" s="44">
        <v>15</v>
      </c>
      <c r="C125" s="58">
        <f>inter($B125/10,C$116,'[4]Clin-PDD'!$A$100:$J$106)</f>
        <v>54.3855</v>
      </c>
      <c r="D125" s="59">
        <f>inter($B125/10,D$116,'[4]Clin-PDD'!$A$100:$J$106)</f>
        <v>59.724499999999999</v>
      </c>
      <c r="E125" s="59">
        <f>inter($B125/10,E$116,'[4]Clin-PDD'!$A$100:$J$106)</f>
        <v>63.915999999999997</v>
      </c>
      <c r="F125" s="59">
        <f>inter($B125/10,F$116,'[4]Clin-PDD'!$A$100:$J$106)</f>
        <v>66.566000000000003</v>
      </c>
      <c r="G125" s="59">
        <f>inter($B125/10,G$116,'[4]Clin-PDD'!$A$100:$J$106)</f>
        <v>68.477000000000004</v>
      </c>
      <c r="H125" s="59">
        <f>inter($B125/10,H$116,'[4]Clin-PDD'!$A$100:$J$106)</f>
        <v>69.918499999999995</v>
      </c>
      <c r="I125" s="59">
        <f>inter($B125/10,I$116,'[4]Clin-PDD'!$A$100:$J$106)</f>
        <v>73.221000000000004</v>
      </c>
      <c r="J125" s="60">
        <f>inter($B125/10,J$116,'[4]Clin-PDD'!$A$100:$J$106)</f>
        <v>75.3065</v>
      </c>
    </row>
    <row r="126" spans="1:10" x14ac:dyDescent="0.25">
      <c r="A126" s="221"/>
      <c r="B126" s="44">
        <v>25</v>
      </c>
      <c r="C126" s="58">
        <f>inter($B126/10,C$116,'[4]Clin-PDD'!$A$100:$J$106)</f>
        <v>37.463499999999996</v>
      </c>
      <c r="D126" s="59">
        <f>inter($B126/10,D$116,'[4]Clin-PDD'!$A$100:$J$106)</f>
        <v>42.316000000000003</v>
      </c>
      <c r="E126" s="59">
        <f>inter($B126/10,E$116,'[4]Clin-PDD'!$A$100:$J$106)</f>
        <v>46.490499999999997</v>
      </c>
      <c r="F126" s="59">
        <f>inter($B126/10,F$116,'[4]Clin-PDD'!$A$100:$J$106)</f>
        <v>49.412499999999994</v>
      </c>
      <c r="G126" s="59">
        <f>inter($B126/10,G$116,'[4]Clin-PDD'!$A$100:$J$106)</f>
        <v>51.595500000000001</v>
      </c>
      <c r="H126" s="59">
        <f>inter($B126/10,H$116,'[4]Clin-PDD'!$A$100:$J$106)</f>
        <v>53.308999999999997</v>
      </c>
      <c r="I126" s="59">
        <f>inter($B126/10,I$116,'[4]Clin-PDD'!$A$100:$J$106)</f>
        <v>57.388500000000008</v>
      </c>
      <c r="J126" s="60">
        <f>inter($B126/10,J$116,'[4]Clin-PDD'!$A$100:$J$106)</f>
        <v>59.996000000000002</v>
      </c>
    </row>
    <row r="127" spans="1:10" x14ac:dyDescent="0.25">
      <c r="A127" s="221"/>
      <c r="B127" s="45">
        <v>35</v>
      </c>
      <c r="C127" s="61">
        <f>inter($B127/10,C$116,'[4]Clin-PDD'!$A$100:$J$106)</f>
        <v>26.628</v>
      </c>
      <c r="D127" s="62">
        <f>inter($B127/10,D$116,'[4]Clin-PDD'!$A$100:$J$106)</f>
        <v>30.532999999999998</v>
      </c>
      <c r="E127" s="62">
        <f>inter($B127/10,E$116,'[4]Clin-PDD'!$A$100:$J$106)</f>
        <v>33.807500000000005</v>
      </c>
      <c r="F127" s="62">
        <f>inter($B127/10,F$116,'[4]Clin-PDD'!$A$100:$J$106)</f>
        <v>36.351500000000001</v>
      </c>
      <c r="G127" s="62">
        <f>inter($B127/10,G$116,'[4]Clin-PDD'!$A$100:$J$106)</f>
        <v>38.395499999999998</v>
      </c>
      <c r="H127" s="62">
        <f>inter($B127/10,H$116,'[4]Clin-PDD'!$A$100:$J$106)</f>
        <v>40.039500000000004</v>
      </c>
      <c r="I127" s="62">
        <f>inter($B127/10,I$116,'[4]Clin-PDD'!$A$100:$J$106)</f>
        <v>44.540999999999997</v>
      </c>
      <c r="J127" s="63">
        <f>inter($B127/10,J$116,'[4]Clin-PDD'!$A$100:$J$106)</f>
        <v>47.535000000000004</v>
      </c>
    </row>
    <row r="130" spans="1:10" ht="18" x14ac:dyDescent="0.25">
      <c r="A130" s="2" t="s">
        <v>33</v>
      </c>
    </row>
    <row r="132" spans="1:10" ht="18.75" x14ac:dyDescent="0.3">
      <c r="A132" s="225" t="s">
        <v>31</v>
      </c>
      <c r="B132" s="226"/>
      <c r="C132" s="226"/>
      <c r="D132" s="226"/>
      <c r="E132" s="226"/>
      <c r="F132" s="226"/>
      <c r="G132" s="226"/>
      <c r="H132" s="226"/>
      <c r="I132" s="226"/>
      <c r="J132" s="227"/>
    </row>
    <row r="134" spans="1:10" ht="18" x14ac:dyDescent="0.25">
      <c r="A134" s="32" t="s">
        <v>25</v>
      </c>
      <c r="B134" s="33">
        <v>15</v>
      </c>
      <c r="C134" s="34" t="s">
        <v>26</v>
      </c>
      <c r="D134" s="1"/>
      <c r="E134" s="1"/>
      <c r="F134" s="1"/>
    </row>
    <row r="135" spans="1:10" x14ac:dyDescent="0.25">
      <c r="A135" s="1"/>
      <c r="B135" s="1"/>
      <c r="C135" s="77" t="s">
        <v>27</v>
      </c>
      <c r="D135" s="77"/>
      <c r="E135" s="77"/>
      <c r="F135" s="77"/>
      <c r="G135" s="77"/>
      <c r="H135" s="77"/>
      <c r="I135" s="77"/>
    </row>
    <row r="136" spans="1:10" x14ac:dyDescent="0.25">
      <c r="A136" s="1"/>
      <c r="B136" s="23"/>
      <c r="C136" s="46">
        <v>1</v>
      </c>
      <c r="D136" s="47">
        <f>'[4]Clin-PDD'!D$115</f>
        <v>2</v>
      </c>
      <c r="E136" s="47">
        <f>'[4]Clin-PDD'!E$115</f>
        <v>3</v>
      </c>
      <c r="F136" s="47">
        <f>'[4]Clin-PDD'!F$115</f>
        <v>4</v>
      </c>
      <c r="G136" s="47">
        <f>'[4]Clin-PDD'!G$115</f>
        <v>5</v>
      </c>
      <c r="H136" s="47">
        <f>'[4]Clin-PDD'!H$115</f>
        <v>6</v>
      </c>
      <c r="I136" s="48">
        <f>'[4]Clin-PDD'!I$115</f>
        <v>8</v>
      </c>
      <c r="J136" s="23"/>
    </row>
    <row r="137" spans="1:10" ht="15" customHeight="1" x14ac:dyDescent="0.25">
      <c r="A137" s="221" t="s">
        <v>32</v>
      </c>
      <c r="B137" s="43">
        <f>'[4]Clin-PDD'!$A116</f>
        <v>0</v>
      </c>
      <c r="C137" s="49">
        <f>'[4]Clin-PDD'!B116</f>
        <v>100</v>
      </c>
      <c r="D137" s="50">
        <f>'[4]Clin-PDD'!D116</f>
        <v>100</v>
      </c>
      <c r="E137" s="50">
        <f>'[4]Clin-PDD'!E116</f>
        <v>100</v>
      </c>
      <c r="F137" s="50">
        <f>'[4]Clin-PDD'!F116</f>
        <v>100</v>
      </c>
      <c r="G137" s="50">
        <f>'[4]Clin-PDD'!G116</f>
        <v>100</v>
      </c>
      <c r="H137" s="50">
        <f>'[4]Clin-PDD'!H116</f>
        <v>100</v>
      </c>
      <c r="I137" s="51">
        <f>'[4]Clin-PDD'!I116</f>
        <v>100</v>
      </c>
    </row>
    <row r="138" spans="1:10" x14ac:dyDescent="0.25">
      <c r="A138" s="221"/>
      <c r="B138" s="73">
        <v>2.8</v>
      </c>
      <c r="C138" s="52">
        <f>inter($B138/10,C$136,'[4]Clin-PDD'!$A$115:$I$121)</f>
        <v>89.695999999999998</v>
      </c>
      <c r="D138" s="53">
        <f>inter($B138/10,D$136,'[4]Clin-PDD'!$A$115:$I$121)</f>
        <v>91.432000000000002</v>
      </c>
      <c r="E138" s="53">
        <f>inter($B138/10,E$136,'[4]Clin-PDD'!$A$115:$I$121)</f>
        <v>92.664000000000001</v>
      </c>
      <c r="F138" s="53">
        <f>inter($B138/10,F$136,'[4]Clin-PDD'!$A$115:$I$121)</f>
        <v>93.447999999999993</v>
      </c>
      <c r="G138" s="53">
        <f>inter($B138/10,G$136,'[4]Clin-PDD'!$A$115:$I$121)</f>
        <v>94.007999999999996</v>
      </c>
      <c r="H138" s="53">
        <f>inter($B138/10,H$136,'[4]Clin-PDD'!$A$115:$I$121)</f>
        <v>94.4</v>
      </c>
      <c r="I138" s="54">
        <f>inter($B138/10,I$136,'[4]Clin-PDD'!$A$115:$I$121)</f>
        <v>94.903999999999996</v>
      </c>
    </row>
    <row r="139" spans="1:10" x14ac:dyDescent="0.25">
      <c r="A139" s="221"/>
      <c r="B139" s="73">
        <v>3.4</v>
      </c>
      <c r="C139" s="52">
        <f>inter($B139/10,C$136,'[4]Clin-PDD'!$A$115:$I$121)</f>
        <v>87.488</v>
      </c>
      <c r="D139" s="53">
        <f>inter($B139/10,D$136,'[4]Clin-PDD'!$A$115:$I$121)</f>
        <v>89.596000000000004</v>
      </c>
      <c r="E139" s="53">
        <f>inter($B139/10,E$136,'[4]Clin-PDD'!$A$115:$I$121)</f>
        <v>91.091999999999999</v>
      </c>
      <c r="F139" s="53">
        <f>inter($B139/10,F$136,'[4]Clin-PDD'!$A$115:$I$121)</f>
        <v>92.043999999999997</v>
      </c>
      <c r="G139" s="53">
        <f>inter($B139/10,G$136,'[4]Clin-PDD'!$A$115:$I$121)</f>
        <v>92.724000000000004</v>
      </c>
      <c r="H139" s="53">
        <f>inter($B139/10,H$136,'[4]Clin-PDD'!$A$115:$I$121)</f>
        <v>93.2</v>
      </c>
      <c r="I139" s="54">
        <f>inter($B139/10,I$136,'[4]Clin-PDD'!$A$115:$I$121)</f>
        <v>93.812000000000012</v>
      </c>
    </row>
    <row r="140" spans="1:10" x14ac:dyDescent="0.25">
      <c r="A140" s="221"/>
      <c r="B140" s="73">
        <v>4</v>
      </c>
      <c r="C140" s="52">
        <f>inter($B140/10,C$136,'[4]Clin-PDD'!$A$115:$I$121)</f>
        <v>85.28</v>
      </c>
      <c r="D140" s="53">
        <f>inter($B140/10,D$136,'[4]Clin-PDD'!$A$115:$I$121)</f>
        <v>87.76</v>
      </c>
      <c r="E140" s="53">
        <f>inter($B140/10,E$136,'[4]Clin-PDD'!$A$115:$I$121)</f>
        <v>89.52000000000001</v>
      </c>
      <c r="F140" s="53">
        <f>inter($B140/10,F$136,'[4]Clin-PDD'!$A$115:$I$121)</f>
        <v>90.64</v>
      </c>
      <c r="G140" s="53">
        <f>inter($B140/10,G$136,'[4]Clin-PDD'!$A$115:$I$121)</f>
        <v>91.44</v>
      </c>
      <c r="H140" s="53">
        <f>inter($B140/10,H$136,'[4]Clin-PDD'!$A$115:$I$121)</f>
        <v>92</v>
      </c>
      <c r="I140" s="54">
        <f>inter($B140/10,I$136,'[4]Clin-PDD'!$A$115:$I$121)</f>
        <v>92.72</v>
      </c>
    </row>
    <row r="141" spans="1:10" x14ac:dyDescent="0.25">
      <c r="A141" s="221"/>
      <c r="B141" s="71">
        <v>5.7</v>
      </c>
      <c r="C141" s="55">
        <f>inter($B141/10,C$136,'[4]Clin-PDD'!$A$115:$I$121)</f>
        <v>79.625999999999991</v>
      </c>
      <c r="D141" s="56">
        <f>inter($B141/10,D$136,'[4]Clin-PDD'!$A$115:$I$121)</f>
        <v>82.894000000000005</v>
      </c>
      <c r="E141" s="56">
        <f>inter($B141/10,E$136,'[4]Clin-PDD'!$A$115:$I$121)</f>
        <v>85.22</v>
      </c>
      <c r="F141" s="56">
        <f>inter($B141/10,F$136,'[4]Clin-PDD'!$A$115:$I$121)</f>
        <v>86.731999999999999</v>
      </c>
      <c r="G141" s="56">
        <f>inter($B141/10,G$136,'[4]Clin-PDD'!$A$115:$I$121)</f>
        <v>87.816000000000003</v>
      </c>
      <c r="H141" s="56">
        <f>inter($B141/10,H$136,'[4]Clin-PDD'!$A$115:$I$121)</f>
        <v>88.572000000000003</v>
      </c>
      <c r="I141" s="57">
        <f>inter($B141/10,I$136,'[4]Clin-PDD'!$A$115:$I$121)</f>
        <v>89.570000000000007</v>
      </c>
    </row>
    <row r="142" spans="1:10" x14ac:dyDescent="0.25">
      <c r="A142" s="221"/>
      <c r="B142" s="71">
        <v>7</v>
      </c>
      <c r="C142" s="55">
        <f>inter($B142/10,C$136,'[4]Clin-PDD'!$A$115:$I$121)</f>
        <v>75.959999999999994</v>
      </c>
      <c r="D142" s="56">
        <f>inter($B142/10,D$136,'[4]Clin-PDD'!$A$115:$I$121)</f>
        <v>79.540000000000006</v>
      </c>
      <c r="E142" s="56">
        <f>inter($B142/10,E$136,'[4]Clin-PDD'!$A$115:$I$121)</f>
        <v>82.100000000000009</v>
      </c>
      <c r="F142" s="56">
        <f>inter($B142/10,F$136,'[4]Clin-PDD'!$A$115:$I$121)</f>
        <v>83.82</v>
      </c>
      <c r="G142" s="56">
        <f>inter($B142/10,G$136,'[4]Clin-PDD'!$A$115:$I$121)</f>
        <v>85.06</v>
      </c>
      <c r="H142" s="56">
        <f>inter($B142/10,H$136,'[4]Clin-PDD'!$A$115:$I$121)</f>
        <v>85.92</v>
      </c>
      <c r="I142" s="57">
        <f>inter($B142/10,I$136,'[4]Clin-PDD'!$A$115:$I$121)</f>
        <v>87.100000000000009</v>
      </c>
    </row>
    <row r="143" spans="1:10" x14ac:dyDescent="0.25">
      <c r="A143" s="221"/>
      <c r="B143" s="71">
        <v>8</v>
      </c>
      <c r="C143" s="55">
        <f>inter($B143/10,C$136,'[4]Clin-PDD'!$A$115:$I$121)</f>
        <v>73.14</v>
      </c>
      <c r="D143" s="56">
        <f>inter($B143/10,D$136,'[4]Clin-PDD'!$A$115:$I$121)</f>
        <v>76.959999999999994</v>
      </c>
      <c r="E143" s="56">
        <f>inter($B143/10,E$136,'[4]Clin-PDD'!$A$115:$I$121)</f>
        <v>79.7</v>
      </c>
      <c r="F143" s="56">
        <f>inter($B143/10,F$136,'[4]Clin-PDD'!$A$115:$I$121)</f>
        <v>81.58</v>
      </c>
      <c r="G143" s="56">
        <f>inter($B143/10,G$136,'[4]Clin-PDD'!$A$115:$I$121)</f>
        <v>82.94</v>
      </c>
      <c r="H143" s="56">
        <f>inter($B143/10,H$136,'[4]Clin-PDD'!$A$115:$I$121)</f>
        <v>83.88</v>
      </c>
      <c r="I143" s="57">
        <f>inter($B143/10,I$136,'[4]Clin-PDD'!$A$115:$I$121)</f>
        <v>85.2</v>
      </c>
    </row>
    <row r="144" spans="1:10" x14ac:dyDescent="0.25">
      <c r="A144" s="221"/>
      <c r="B144" s="44">
        <v>10</v>
      </c>
      <c r="C144" s="58">
        <f>inter($B144/10,C$136,'[4]Clin-PDD'!$A$115:$I$121)</f>
        <v>67.5</v>
      </c>
      <c r="D144" s="59">
        <f>inter($B144/10,D$136,'[4]Clin-PDD'!$A$115:$I$121)</f>
        <v>71.8</v>
      </c>
      <c r="E144" s="59">
        <f>inter($B144/10,E$136,'[4]Clin-PDD'!$A$115:$I$121)</f>
        <v>74.900000000000006</v>
      </c>
      <c r="F144" s="59">
        <f>inter($B144/10,F$136,'[4]Clin-PDD'!$A$115:$I$121)</f>
        <v>77.099999999999994</v>
      </c>
      <c r="G144" s="59">
        <f>inter($B144/10,G$136,'[4]Clin-PDD'!$A$115:$I$121)</f>
        <v>78.7</v>
      </c>
      <c r="H144" s="59">
        <f>inter($B144/10,H$136,'[4]Clin-PDD'!$A$115:$I$121)</f>
        <v>79.8</v>
      </c>
      <c r="I144" s="60">
        <f>inter($B144/10,I$136,'[4]Clin-PDD'!$A$115:$I$121)</f>
        <v>81.400000000000006</v>
      </c>
    </row>
    <row r="145" spans="1:10" x14ac:dyDescent="0.25">
      <c r="A145" s="221"/>
      <c r="B145" s="44">
        <v>20</v>
      </c>
      <c r="C145" s="58">
        <f>inter($B145/10,C$136,'[4]Clin-PDD'!$A$115:$I$121)</f>
        <v>45.8</v>
      </c>
      <c r="D145" s="59">
        <f>inter($B145/10,D$136,'[4]Clin-PDD'!$A$115:$I$121)</f>
        <v>50.5</v>
      </c>
      <c r="E145" s="59">
        <f>inter($B145/10,E$136,'[4]Clin-PDD'!$A$115:$I$121)</f>
        <v>54.4</v>
      </c>
      <c r="F145" s="59">
        <f>inter($B145/10,F$136,'[4]Clin-PDD'!$A$115:$I$121)</f>
        <v>57.3</v>
      </c>
      <c r="G145" s="59">
        <f>inter($B145/10,G$136,'[4]Clin-PDD'!$A$115:$I$121)</f>
        <v>59.4</v>
      </c>
      <c r="H145" s="59">
        <f>inter($B145/10,H$136,'[4]Clin-PDD'!$A$115:$I$121)</f>
        <v>61.1</v>
      </c>
      <c r="I145" s="60">
        <f>inter($B145/10,I$136,'[4]Clin-PDD'!$A$115:$I$121)</f>
        <v>63.6</v>
      </c>
    </row>
    <row r="146" spans="1:10" x14ac:dyDescent="0.25">
      <c r="A146" s="221"/>
      <c r="B146" s="44">
        <v>30</v>
      </c>
      <c r="C146" s="58">
        <f>inter($B146/10,C$136,'[4]Clin-PDD'!$A$115:$I$121)</f>
        <v>30</v>
      </c>
      <c r="D146" s="59">
        <f>inter($B146/10,D$136,'[4]Clin-PDD'!$A$115:$I$121)</f>
        <v>34.799999999999997</v>
      </c>
      <c r="E146" s="59">
        <f>inter($B146/10,E$136,'[4]Clin-PDD'!$A$115:$I$121)</f>
        <v>39.299999999999997</v>
      </c>
      <c r="F146" s="59">
        <f>inter($B146/10,F$136,'[4]Clin-PDD'!$A$115:$I$121)</f>
        <v>42</v>
      </c>
      <c r="G146" s="59">
        <f>inter($B146/10,G$136,'[4]Clin-PDD'!$A$115:$I$121)</f>
        <v>44.1</v>
      </c>
      <c r="H146" s="59">
        <f>inter($B146/10,H$136,'[4]Clin-PDD'!$A$115:$I$121)</f>
        <v>46</v>
      </c>
      <c r="I146" s="60">
        <f>inter($B146/10,I$136,'[4]Clin-PDD'!$A$115:$I$121)</f>
        <v>49.1</v>
      </c>
    </row>
    <row r="147" spans="1:10" x14ac:dyDescent="0.25">
      <c r="A147" s="221"/>
      <c r="B147" s="45">
        <v>40</v>
      </c>
      <c r="C147" s="61">
        <f>inter($B147/10,C$136,'[4]Clin-PDD'!$A$115:$I$121)</f>
        <v>22</v>
      </c>
      <c r="D147" s="62">
        <f>inter($B147/10,D$136,'[4]Clin-PDD'!$A$115:$I$121)</f>
        <v>25.7</v>
      </c>
      <c r="E147" s="62">
        <f>inter($B147/10,E$136,'[4]Clin-PDD'!$A$115:$I$121)</f>
        <v>28.7</v>
      </c>
      <c r="F147" s="62">
        <f>inter($B147/10,F$136,'[4]Clin-PDD'!$A$115:$I$121)</f>
        <v>30.9</v>
      </c>
      <c r="G147" s="62">
        <f>inter($B147/10,G$136,'[4]Clin-PDD'!$A$115:$I$121)</f>
        <v>32.9</v>
      </c>
      <c r="H147" s="62">
        <f>inter($B147/10,H$136,'[4]Clin-PDD'!$A$115:$I$121)</f>
        <v>34.700000000000003</v>
      </c>
      <c r="I147" s="63">
        <f>inter($B147/10,I$136,'[4]Clin-PDD'!$A$115:$I$121)</f>
        <v>37.6</v>
      </c>
    </row>
    <row r="148" spans="1:10" x14ac:dyDescent="0.25">
      <c r="A148" s="1"/>
      <c r="B148" s="23"/>
      <c r="C148" s="23"/>
      <c r="D148" s="23"/>
      <c r="E148" s="23"/>
      <c r="F148" s="23"/>
      <c r="G148" s="23"/>
      <c r="H148" s="23"/>
      <c r="I148" s="23"/>
      <c r="J148" s="23"/>
    </row>
    <row r="149" spans="1:10" ht="18" x14ac:dyDescent="0.25">
      <c r="A149" s="40" t="s">
        <v>25</v>
      </c>
      <c r="B149" s="41">
        <v>25</v>
      </c>
      <c r="C149" s="42" t="s">
        <v>26</v>
      </c>
      <c r="D149" s="1"/>
      <c r="E149" s="1"/>
      <c r="F149" s="1"/>
    </row>
    <row r="150" spans="1:10" x14ac:dyDescent="0.25">
      <c r="A150" s="1"/>
      <c r="B150" s="1"/>
      <c r="C150" s="214" t="s">
        <v>27</v>
      </c>
      <c r="D150" s="214"/>
      <c r="E150" s="214"/>
      <c r="F150" s="214"/>
      <c r="G150" s="214"/>
      <c r="H150" s="214"/>
      <c r="I150" s="214"/>
      <c r="J150" s="214"/>
    </row>
    <row r="151" spans="1:10" x14ac:dyDescent="0.25">
      <c r="A151" s="1"/>
      <c r="B151" s="23"/>
      <c r="C151" s="46">
        <v>1</v>
      </c>
      <c r="D151" s="47">
        <f>'[4]Clin-PDD'!D$127</f>
        <v>2</v>
      </c>
      <c r="E151" s="47">
        <f>'[4]Clin-PDD'!E$127</f>
        <v>3</v>
      </c>
      <c r="F151" s="47">
        <f>'[4]Clin-PDD'!F$127</f>
        <v>4</v>
      </c>
      <c r="G151" s="47">
        <f>'[4]Clin-PDD'!G$127</f>
        <v>5</v>
      </c>
      <c r="H151" s="47">
        <f>'[4]Clin-PDD'!H$127</f>
        <v>6</v>
      </c>
      <c r="I151" s="47">
        <f>'[4]Clin-PDD'!I$127</f>
        <v>10</v>
      </c>
      <c r="J151" s="48">
        <f>'[4]Clin-PDD'!J$127</f>
        <v>15</v>
      </c>
    </row>
    <row r="152" spans="1:10" ht="15" customHeight="1" x14ac:dyDescent="0.25">
      <c r="A152" s="221" t="s">
        <v>32</v>
      </c>
      <c r="B152" s="43">
        <f>'[4]Clin-PDD'!$A128</f>
        <v>0</v>
      </c>
      <c r="C152" s="49">
        <f>'[4]Clin-PDD'!B128</f>
        <v>100</v>
      </c>
      <c r="D152" s="50">
        <f>'[4]Clin-PDD'!D128</f>
        <v>100</v>
      </c>
      <c r="E152" s="50">
        <f>'[4]Clin-PDD'!E128</f>
        <v>100</v>
      </c>
      <c r="F152" s="50">
        <f>'[4]Clin-PDD'!F128</f>
        <v>100</v>
      </c>
      <c r="G152" s="50">
        <f>'[4]Clin-PDD'!G128</f>
        <v>100</v>
      </c>
      <c r="H152" s="50">
        <f>'[4]Clin-PDD'!H128</f>
        <v>100</v>
      </c>
      <c r="I152" s="50">
        <f>'[4]Clin-PDD'!I128</f>
        <v>100</v>
      </c>
      <c r="J152" s="51">
        <f>'[4]Clin-PDD'!J128</f>
        <v>100</v>
      </c>
    </row>
    <row r="153" spans="1:10" x14ac:dyDescent="0.25">
      <c r="A153" s="221"/>
      <c r="B153" s="73">
        <v>3.2</v>
      </c>
      <c r="C153" s="52">
        <f>inter($B153/10,C$151,'[4]Clin-PDD'!$A$127:$J$133)</f>
        <v>89.695999999999998</v>
      </c>
      <c r="D153" s="53">
        <f>inter($B153/10,D$151,'[4]Clin-PDD'!$A$127:$J$133)</f>
        <v>91.68</v>
      </c>
      <c r="E153" s="53">
        <f>inter($B153/10,E$151,'[4]Clin-PDD'!$A$127:$J$133)</f>
        <v>93.024000000000001</v>
      </c>
      <c r="F153" s="53">
        <f>inter($B153/10,F$151,'[4]Clin-PDD'!$A$127:$J$133)</f>
        <v>93.856000000000009</v>
      </c>
      <c r="G153" s="53">
        <f>inter($B153/10,G$151,'[4]Clin-PDD'!$A$127:$J$133)</f>
        <v>94.496000000000009</v>
      </c>
      <c r="H153" s="53">
        <f>inter($B153/10,H$151,'[4]Clin-PDD'!$A$127:$J$133)</f>
        <v>94.944000000000003</v>
      </c>
      <c r="I153" s="53">
        <f>inter($B153/10,I$151,'[4]Clin-PDD'!$A$127:$J$133)</f>
        <v>95.77600000000001</v>
      </c>
      <c r="J153" s="54">
        <f>inter($B153/10,J$151,'[4]Clin-PDD'!$A$127:$J$133)</f>
        <v>96.48</v>
      </c>
    </row>
    <row r="154" spans="1:10" x14ac:dyDescent="0.25">
      <c r="A154" s="221"/>
      <c r="B154" s="73">
        <v>4</v>
      </c>
      <c r="C154" s="52">
        <f>inter($B154/10,C$151,'[4]Clin-PDD'!$A$127:$J$133)</f>
        <v>87.12</v>
      </c>
      <c r="D154" s="53">
        <f>inter($B154/10,D$151,'[4]Clin-PDD'!$A$127:$J$133)</f>
        <v>89.6</v>
      </c>
      <c r="E154" s="53">
        <f>inter($B154/10,E$151,'[4]Clin-PDD'!$A$127:$J$133)</f>
        <v>91.28</v>
      </c>
      <c r="F154" s="53">
        <f>inter($B154/10,F$151,'[4]Clin-PDD'!$A$127:$J$133)</f>
        <v>92.320000000000007</v>
      </c>
      <c r="G154" s="53">
        <f>inter($B154/10,G$151,'[4]Clin-PDD'!$A$127:$J$133)</f>
        <v>93.12</v>
      </c>
      <c r="H154" s="53">
        <f>inter($B154/10,H$151,'[4]Clin-PDD'!$A$127:$J$133)</f>
        <v>93.679999999999993</v>
      </c>
      <c r="I154" s="53">
        <f>inter($B154/10,I$151,'[4]Clin-PDD'!$A$127:$J$133)</f>
        <v>94.72</v>
      </c>
      <c r="J154" s="54">
        <f>inter($B154/10,J$151,'[4]Clin-PDD'!$A$127:$J$133)</f>
        <v>95.6</v>
      </c>
    </row>
    <row r="155" spans="1:10" x14ac:dyDescent="0.25">
      <c r="A155" s="221"/>
      <c r="B155" s="73">
        <v>4.8</v>
      </c>
      <c r="C155" s="52">
        <f>inter($B155/10,C$151,'[4]Clin-PDD'!$A$127:$J$133)</f>
        <v>84.544000000000011</v>
      </c>
      <c r="D155" s="53">
        <f>inter($B155/10,D$151,'[4]Clin-PDD'!$A$127:$J$133)</f>
        <v>87.52</v>
      </c>
      <c r="E155" s="53">
        <f>inter($B155/10,E$151,'[4]Clin-PDD'!$A$127:$J$133)</f>
        <v>89.536000000000001</v>
      </c>
      <c r="F155" s="53">
        <f>inter($B155/10,F$151,'[4]Clin-PDD'!$A$127:$J$133)</f>
        <v>90.784000000000006</v>
      </c>
      <c r="G155" s="53">
        <f>inter($B155/10,G$151,'[4]Clin-PDD'!$A$127:$J$133)</f>
        <v>91.744</v>
      </c>
      <c r="H155" s="53">
        <f>inter($B155/10,H$151,'[4]Clin-PDD'!$A$127:$J$133)</f>
        <v>92.415999999999997</v>
      </c>
      <c r="I155" s="53">
        <f>inter($B155/10,I$151,'[4]Clin-PDD'!$A$127:$J$133)</f>
        <v>93.664000000000001</v>
      </c>
      <c r="J155" s="54">
        <f>inter($B155/10,J$151,'[4]Clin-PDD'!$A$127:$J$133)</f>
        <v>94.72</v>
      </c>
    </row>
    <row r="156" spans="1:10" x14ac:dyDescent="0.25">
      <c r="A156" s="221"/>
      <c r="B156" s="71">
        <v>6.59</v>
      </c>
      <c r="C156" s="55">
        <f>inter($B156/10,C$151,'[4]Clin-PDD'!$A$127:$J$133)</f>
        <v>79.511600000000001</v>
      </c>
      <c r="D156" s="56">
        <f>inter($B156/10,D$151,'[4]Clin-PDD'!$A$127:$J$133)</f>
        <v>83.215800000000002</v>
      </c>
      <c r="E156" s="56">
        <f>inter($B156/10,E$151,'[4]Clin-PDD'!$A$127:$J$133)</f>
        <v>85.7928</v>
      </c>
      <c r="F156" s="56">
        <f>inter($B156/10,F$151,'[4]Clin-PDD'!$A$127:$J$133)</f>
        <v>87.347200000000001</v>
      </c>
      <c r="G156" s="56">
        <f>inter($B156/10,G$151,'[4]Clin-PDD'!$A$127:$J$133)</f>
        <v>88.506200000000007</v>
      </c>
      <c r="H156" s="56">
        <f>inter($B156/10,H$151,'[4]Clin-PDD'!$A$127:$J$133)</f>
        <v>89.365200000000002</v>
      </c>
      <c r="I156" s="56">
        <f>inter($B156/10,I$151,'[4]Clin-PDD'!$A$127:$J$133)</f>
        <v>91.142200000000003</v>
      </c>
      <c r="J156" s="57">
        <f>inter($B156/10,J$151,'[4]Clin-PDD'!$A$127:$J$133)</f>
        <v>92.464799999999997</v>
      </c>
    </row>
    <row r="157" spans="1:10" x14ac:dyDescent="0.25">
      <c r="A157" s="221"/>
      <c r="B157" s="71">
        <v>8.1</v>
      </c>
      <c r="C157" s="55">
        <f>inter($B157/10,C$151,'[4]Clin-PDD'!$A$127:$J$133)</f>
        <v>75.343999999999994</v>
      </c>
      <c r="D157" s="56">
        <f>inter($B157/10,D$151,'[4]Clin-PDD'!$A$127:$J$133)</f>
        <v>79.622</v>
      </c>
      <c r="E157" s="56">
        <f>inter($B157/10,E$151,'[4]Clin-PDD'!$A$127:$J$133)</f>
        <v>82.652000000000001</v>
      </c>
      <c r="F157" s="56">
        <f>inter($B157/10,F$151,'[4]Clin-PDD'!$A$127:$J$133)</f>
        <v>84.448000000000008</v>
      </c>
      <c r="G157" s="56">
        <f>inter($B157/10,G$151,'[4]Clin-PDD'!$A$127:$J$133)</f>
        <v>85.757999999999996</v>
      </c>
      <c r="H157" s="56">
        <f>inter($B157/10,H$151,'[4]Clin-PDD'!$A$127:$J$133)</f>
        <v>86.768000000000001</v>
      </c>
      <c r="I157" s="56">
        <f>inter($B157/10,I$151,'[4]Clin-PDD'!$A$127:$J$133)</f>
        <v>88.998000000000005</v>
      </c>
      <c r="J157" s="57">
        <f>inter($B157/10,J$151,'[4]Clin-PDD'!$A$127:$J$133)</f>
        <v>90.531999999999996</v>
      </c>
    </row>
    <row r="158" spans="1:10" x14ac:dyDescent="0.25">
      <c r="A158" s="221"/>
      <c r="B158" s="71">
        <v>9.5</v>
      </c>
      <c r="C158" s="55">
        <f>inter($B158/10,C$151,'[4]Clin-PDD'!$A$127:$J$133)</f>
        <v>71.47999999999999</v>
      </c>
      <c r="D158" s="56">
        <f>inter($B158/10,D$151,'[4]Clin-PDD'!$A$127:$J$133)</f>
        <v>76.289999999999992</v>
      </c>
      <c r="E158" s="56">
        <f>inter($B158/10,E$151,'[4]Clin-PDD'!$A$127:$J$133)</f>
        <v>79.740000000000009</v>
      </c>
      <c r="F158" s="56">
        <f>inter($B158/10,F$151,'[4]Clin-PDD'!$A$127:$J$133)</f>
        <v>81.759999999999991</v>
      </c>
      <c r="G158" s="56">
        <f>inter($B158/10,G$151,'[4]Clin-PDD'!$A$127:$J$133)</f>
        <v>83.21</v>
      </c>
      <c r="H158" s="56">
        <f>inter($B158/10,H$151,'[4]Clin-PDD'!$A$127:$J$133)</f>
        <v>84.36</v>
      </c>
      <c r="I158" s="56">
        <f>inter($B158/10,I$151,'[4]Clin-PDD'!$A$127:$J$133)</f>
        <v>87.01</v>
      </c>
      <c r="J158" s="57">
        <f>inter($B158/10,J$151,'[4]Clin-PDD'!$A$127:$J$133)</f>
        <v>88.74</v>
      </c>
    </row>
    <row r="159" spans="1:10" x14ac:dyDescent="0.25">
      <c r="A159" s="221"/>
      <c r="B159" s="44">
        <v>15</v>
      </c>
      <c r="C159" s="58">
        <f>inter($B159/10,C$151,'[4]Clin-PDD'!$A$127:$J$133)</f>
        <v>60.3</v>
      </c>
      <c r="D159" s="59">
        <f>inter($B159/10,D$151,'[4]Clin-PDD'!$A$127:$J$133)</f>
        <v>65.349999999999994</v>
      </c>
      <c r="E159" s="59">
        <f>inter($B159/10,E$151,'[4]Clin-PDD'!$A$127:$J$133)</f>
        <v>69.099999999999994</v>
      </c>
      <c r="F159" s="59">
        <f>inter($B159/10,F$151,'[4]Clin-PDD'!$A$127:$J$133)</f>
        <v>71.7</v>
      </c>
      <c r="G159" s="59">
        <f>inter($B159/10,G$151,'[4]Clin-PDD'!$A$127:$J$133)</f>
        <v>73.650000000000006</v>
      </c>
      <c r="H159" s="59">
        <f>inter($B159/10,H$151,'[4]Clin-PDD'!$A$127:$J$133)</f>
        <v>75.2</v>
      </c>
      <c r="I159" s="59">
        <f>inter($B159/10,I$151,'[4]Clin-PDD'!$A$127:$J$133)</f>
        <v>79.099999999999994</v>
      </c>
      <c r="J159" s="60">
        <f>inter($B159/10,J$151,'[4]Clin-PDD'!$A$127:$J$133)</f>
        <v>81.8</v>
      </c>
    </row>
    <row r="160" spans="1:10" x14ac:dyDescent="0.25">
      <c r="A160" s="221"/>
      <c r="B160" s="44">
        <v>20</v>
      </c>
      <c r="C160" s="58">
        <f>inter($B160/10,C$151,'[4]Clin-PDD'!$A$127:$J$133)</f>
        <v>50.5</v>
      </c>
      <c r="D160" s="59">
        <f>inter($B160/10,D$151,'[4]Clin-PDD'!$A$127:$J$133)</f>
        <v>55.6</v>
      </c>
      <c r="E160" s="59">
        <f>inter($B160/10,E$151,'[4]Clin-PDD'!$A$127:$J$133)</f>
        <v>59.5</v>
      </c>
      <c r="F160" s="59">
        <f>inter($B160/10,F$151,'[4]Clin-PDD'!$A$127:$J$133)</f>
        <v>62.6</v>
      </c>
      <c r="G160" s="59">
        <f>inter($B160/10,G$151,'[4]Clin-PDD'!$A$127:$J$133)</f>
        <v>65</v>
      </c>
      <c r="H160" s="59">
        <f>inter($B160/10,H$151,'[4]Clin-PDD'!$A$127:$J$133)</f>
        <v>66.900000000000006</v>
      </c>
      <c r="I160" s="59">
        <f>inter($B160/10,I$151,'[4]Clin-PDD'!$A$127:$J$133)</f>
        <v>71.900000000000006</v>
      </c>
      <c r="J160" s="60">
        <f>inter($B160/10,J$151,'[4]Clin-PDD'!$A$127:$J$133)</f>
        <v>75.5</v>
      </c>
    </row>
    <row r="161" spans="1:10" x14ac:dyDescent="0.25">
      <c r="A161" s="221"/>
      <c r="B161" s="44">
        <v>30</v>
      </c>
      <c r="C161" s="58">
        <f>inter($B161/10,C$151,'[4]Clin-PDD'!$A$127:$J$133)</f>
        <v>36</v>
      </c>
      <c r="D161" s="59">
        <f>inter($B161/10,D$151,'[4]Clin-PDD'!$A$127:$J$133)</f>
        <v>40.5</v>
      </c>
      <c r="E161" s="59">
        <f>inter($B161/10,E$151,'[4]Clin-PDD'!$A$127:$J$133)</f>
        <v>45.1</v>
      </c>
      <c r="F161" s="59">
        <f>inter($B161/10,F$151,'[4]Clin-PDD'!$A$127:$J$133)</f>
        <v>48</v>
      </c>
      <c r="G161" s="59">
        <f>inter($B161/10,G$151,'[4]Clin-PDD'!$A$127:$J$133)</f>
        <v>50.5</v>
      </c>
      <c r="H161" s="59">
        <f>inter($B161/10,H$151,'[4]Clin-PDD'!$A$127:$J$133)</f>
        <v>52.4</v>
      </c>
      <c r="I161" s="59">
        <f>inter($B161/10,I$151,'[4]Clin-PDD'!$A$127:$J$133)</f>
        <v>58.8</v>
      </c>
      <c r="J161" s="60">
        <f>inter($B161/10,J$151,'[4]Clin-PDD'!$A$127:$J$133)</f>
        <v>63</v>
      </c>
    </row>
    <row r="162" spans="1:10" x14ac:dyDescent="0.25">
      <c r="A162" s="221"/>
      <c r="B162" s="45">
        <v>40</v>
      </c>
      <c r="C162" s="61">
        <f>inter($B162/10,C$151,'[4]Clin-PDD'!$A$127:$J$133)</f>
        <v>26.7</v>
      </c>
      <c r="D162" s="62">
        <f>inter($B162/10,D$151,'[4]Clin-PDD'!$A$127:$J$133)</f>
        <v>30.8</v>
      </c>
      <c r="E162" s="62">
        <f>inter($B162/10,E$151,'[4]Clin-PDD'!$A$127:$J$133)</f>
        <v>34.1</v>
      </c>
      <c r="F162" s="62">
        <f>inter($B162/10,F$151,'[4]Clin-PDD'!$A$127:$J$133)</f>
        <v>36.700000000000003</v>
      </c>
      <c r="G162" s="62">
        <f>inter($B162/10,G$151,'[4]Clin-PDD'!$A$127:$J$133)</f>
        <v>39</v>
      </c>
      <c r="H162" s="62">
        <f>inter($B162/10,H$151,'[4]Clin-PDD'!$A$127:$J$133)</f>
        <v>40.9</v>
      </c>
      <c r="I162" s="62">
        <f>inter($B162/10,I$151,'[4]Clin-PDD'!$A$127:$J$133)</f>
        <v>46.9</v>
      </c>
      <c r="J162" s="63">
        <f>inter($B162/10,J$151,'[4]Clin-PDD'!$A$127:$J$133)</f>
        <v>51.4</v>
      </c>
    </row>
  </sheetData>
  <sheetProtection sheet="1" objects="1" scenarios="1"/>
  <mergeCells count="19">
    <mergeCell ref="A97:J97"/>
    <mergeCell ref="A132:J132"/>
    <mergeCell ref="C150:J150"/>
    <mergeCell ref="A152:A162"/>
    <mergeCell ref="A102:A112"/>
    <mergeCell ref="C115:J115"/>
    <mergeCell ref="A117:A127"/>
    <mergeCell ref="A137:A147"/>
    <mergeCell ref="C80:J80"/>
    <mergeCell ref="A82:A92"/>
    <mergeCell ref="A63:J63"/>
    <mergeCell ref="A37:A45"/>
    <mergeCell ref="C48:J48"/>
    <mergeCell ref="A50:A58"/>
    <mergeCell ref="A32:J32"/>
    <mergeCell ref="A8:A15"/>
    <mergeCell ref="A20:A27"/>
    <mergeCell ref="A3:J3"/>
    <mergeCell ref="A68:A77"/>
  </mergeCells>
  <pageMargins left="0.9055118110236221" right="0.31496062992125984" top="1.5354330708661419" bottom="0.74803149606299213" header="0.51181102362204722" footer="0.31496062992125984"/>
  <pageSetup paperSize="9" scale="93" orientation="portrait" r:id="rId1"/>
  <headerFooter>
    <oddHeader xml:space="preserve">&amp;L&amp;"Arial Rounded MT Bold,Regular"&amp;K4D4D4D
&amp;14&amp;K660033Andrew Love Cancer Centre&amp;"-,Regular"&amp;11&amp;K01+000
&amp;"Arial Rounded MT Bold,Regular"&amp;12&amp;K4D4D4DSuperficial RT&amp;"-,Regular"&amp;11&amp;K01+000
</oddHeader>
    <oddFooter>&amp;LF.Nelli 12-8-2015&amp;Rpage &amp;P of &amp;N</oddFooter>
  </headerFooter>
  <rowBreaks count="4" manualBreakCount="4">
    <brk id="29" max="16383" man="1"/>
    <brk id="60" max="16383" man="1"/>
    <brk id="94" max="16383" man="1"/>
    <brk id="129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8:A152"/>
  <sheetViews>
    <sheetView zoomScaleNormal="100" workbookViewId="0">
      <selection activeCell="AU22" sqref="AU22"/>
    </sheetView>
  </sheetViews>
  <sheetFormatPr defaultRowHeight="15" x14ac:dyDescent="0.25"/>
  <cols>
    <col min="1" max="1" width="9.42578125" style="31" bestFit="1" customWidth="1"/>
    <col min="2" max="16384" width="9.140625" style="31"/>
  </cols>
  <sheetData>
    <row r="8" ht="15" customHeight="1" x14ac:dyDescent="0.25"/>
    <row r="20" ht="15" customHeight="1" x14ac:dyDescent="0.25"/>
    <row r="37" ht="15" customHeight="1" x14ac:dyDescent="0.25"/>
    <row r="50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82" ht="15" customHeight="1" x14ac:dyDescent="0.25"/>
    <row r="102" ht="15" customHeight="1" x14ac:dyDescent="0.25"/>
    <row r="117" ht="15" customHeight="1" x14ac:dyDescent="0.25"/>
    <row r="137" ht="15" customHeight="1" x14ac:dyDescent="0.25"/>
    <row r="152" ht="15" customHeight="1" x14ac:dyDescent="0.25"/>
  </sheetData>
  <sheetProtection sheet="1" objects="1" scenarios="1"/>
  <pageMargins left="0.9055118110236221" right="0.31496062992125984" top="1.5354330708661419" bottom="0.74803149606299213" header="0.51181102362204722" footer="0.31496062992125984"/>
  <pageSetup paperSize="9" orientation="portrait" r:id="rId1"/>
  <headerFooter>
    <oddHeader xml:space="preserve">&amp;L&amp;"Arial Rounded MT Bold,Regular"&amp;K4D4D4D
&amp;14&amp;K660033Andrew Love Cancer Centre&amp;"-,Regular"&amp;11&amp;K01+000
&amp;"Arial Rounded MT Bold,Regular"&amp;12&amp;K4D4D4DSuperficial RT&amp;"-,Regular"&amp;11&amp;K01+000
</oddHeader>
    <oddFooter>&amp;LF.Nelli 12-8-2015&amp;Rpage &amp;P of &amp;N</oddFooter>
  </headerFooter>
  <rowBreaks count="4" manualBreakCount="4">
    <brk id="44" max="16383" man="1"/>
    <brk id="60" max="16383" man="1"/>
    <brk id="94" max="16383" man="1"/>
    <brk id="129" max="16383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1"/>
  <sheetViews>
    <sheetView workbookViewId="0">
      <selection activeCell="A2" sqref="A2"/>
    </sheetView>
  </sheetViews>
  <sheetFormatPr defaultRowHeight="15" x14ac:dyDescent="0.25"/>
  <sheetData>
    <row r="1" spans="1:14" x14ac:dyDescent="0.25">
      <c r="A1" s="187" t="s">
        <v>64</v>
      </c>
    </row>
    <row r="2" spans="1:14" x14ac:dyDescent="0.25">
      <c r="A2" t="s">
        <v>20</v>
      </c>
    </row>
    <row r="3" spans="1:14" x14ac:dyDescent="0.25">
      <c r="A3" t="s">
        <v>3</v>
      </c>
      <c r="D3" t="s">
        <v>4</v>
      </c>
      <c r="G3" t="s">
        <v>5</v>
      </c>
      <c r="J3" t="s">
        <v>6</v>
      </c>
      <c r="M3" t="s">
        <v>7</v>
      </c>
    </row>
    <row r="4" spans="1:14" x14ac:dyDescent="0.25">
      <c r="B4">
        <f>'[4]Clin-PDD'!N5</f>
        <v>1.1499999999999999</v>
      </c>
      <c r="E4">
        <f>'[4]Clin-PDD'!N34</f>
        <v>2.15</v>
      </c>
      <c r="H4">
        <f>'[4]Clin-PDD'!N61</f>
        <v>3.15</v>
      </c>
      <c r="K4">
        <f>'[4]Clin-PDD'!N88</f>
        <v>4.1500000000000004</v>
      </c>
      <c r="N4">
        <f>'[4]Clin-PDD'!N115</f>
        <v>5.15</v>
      </c>
    </row>
    <row r="5" spans="1:14" x14ac:dyDescent="0.25">
      <c r="A5">
        <f>'[4]Clin-PDD'!M6</f>
        <v>0</v>
      </c>
      <c r="B5">
        <f>'[4]Clin-PDD'!N6</f>
        <v>1</v>
      </c>
      <c r="D5">
        <f>'[4]Clin-PDD'!M35</f>
        <v>0</v>
      </c>
      <c r="E5">
        <f>'[4]Clin-PDD'!N35</f>
        <v>1</v>
      </c>
      <c r="G5">
        <f>'[4]Clin-PDD'!M62</f>
        <v>0</v>
      </c>
      <c r="H5">
        <f>'[4]Clin-PDD'!N62</f>
        <v>1</v>
      </c>
      <c r="J5">
        <f>'[4]Clin-PDD'!M89</f>
        <v>0</v>
      </c>
      <c r="K5">
        <f>'[4]Clin-PDD'!N89</f>
        <v>1</v>
      </c>
      <c r="M5">
        <f>'[4]Clin-PDD'!M116</f>
        <v>0</v>
      </c>
      <c r="N5">
        <f>'[4]Clin-PDD'!N116</f>
        <v>1</v>
      </c>
    </row>
    <row r="6" spans="1:14" x14ac:dyDescent="0.25">
      <c r="A6">
        <f>'[4]Clin-PDD'!M7</f>
        <v>0.2</v>
      </c>
      <c r="B6">
        <f>'[4]Clin-PDD'!N7</f>
        <v>0.62891529077879238</v>
      </c>
      <c r="D6">
        <f>'[4]Clin-PDD'!M36</f>
        <v>0.4</v>
      </c>
      <c r="E6">
        <f>'[4]Clin-PDD'!N36</f>
        <v>0.7353094653700698</v>
      </c>
      <c r="G6">
        <f>'[4]Clin-PDD'!M63</f>
        <v>0.5</v>
      </c>
      <c r="H6">
        <f>'[4]Clin-PDD'!N63</f>
        <v>0.76598454221165302</v>
      </c>
      <c r="J6">
        <f>'[4]Clin-PDD'!M90</f>
        <v>0.5</v>
      </c>
      <c r="K6">
        <f>'[4]Clin-PDD'!N90</f>
        <v>0.7892501307966705</v>
      </c>
      <c r="M6">
        <f>'[4]Clin-PDD'!M117</f>
        <v>0.5</v>
      </c>
      <c r="N6">
        <f>'[4]Clin-PDD'!N117</f>
        <v>0.83167063020214016</v>
      </c>
    </row>
    <row r="7" spans="1:14" x14ac:dyDescent="0.25">
      <c r="A7">
        <f>'[4]Clin-PDD'!M8</f>
        <v>0.4</v>
      </c>
      <c r="B7">
        <f>'[4]Clin-PDD'!N8</f>
        <v>0.44618887261917772</v>
      </c>
      <c r="D7">
        <f>'[4]Clin-PDD'!M37</f>
        <v>0.8</v>
      </c>
      <c r="E7">
        <f>'[4]Clin-PDD'!N37</f>
        <v>0.56196578790963148</v>
      </c>
      <c r="G7">
        <f>'[4]Clin-PDD'!M64</f>
        <v>1</v>
      </c>
      <c r="H7">
        <f>'[4]Clin-PDD'!N64</f>
        <v>0.58191349583828766</v>
      </c>
      <c r="J7">
        <f>'[4]Clin-PDD'!M91</f>
        <v>1</v>
      </c>
      <c r="K7">
        <f>'[4]Clin-PDD'!N91</f>
        <v>0.63163090511296061</v>
      </c>
      <c r="M7">
        <f>'[4]Clin-PDD'!M118</f>
        <v>1</v>
      </c>
      <c r="N7">
        <f>'[4]Clin-PDD'!N118</f>
        <v>0.70773479191438771</v>
      </c>
    </row>
    <row r="8" spans="1:14" x14ac:dyDescent="0.25">
      <c r="A8">
        <f>'[4]Clin-PDD'!M9</f>
        <v>0.8</v>
      </c>
      <c r="B8">
        <f>'[4]Clin-PDD'!N9</f>
        <v>0.27026851202564062</v>
      </c>
      <c r="D8">
        <f>'[4]Clin-PDD'!M38</f>
        <v>1.6</v>
      </c>
      <c r="E8">
        <f>'[4]Clin-PDD'!N38</f>
        <v>0.37008287474910817</v>
      </c>
      <c r="G8">
        <f>'[4]Clin-PDD'!M65</f>
        <v>2</v>
      </c>
      <c r="H8">
        <f>'[4]Clin-PDD'!N65</f>
        <v>0.40067689655172406</v>
      </c>
      <c r="J8">
        <f>'[4]Clin-PDD'!M92</f>
        <v>2</v>
      </c>
      <c r="K8">
        <f>'[4]Clin-PDD'!N92</f>
        <v>0.43055809833531505</v>
      </c>
      <c r="M8">
        <f>'[4]Clin-PDD'!M119</f>
        <v>2</v>
      </c>
      <c r="N8">
        <f>'[4]Clin-PDD'!N119</f>
        <v>0.51889360879904867</v>
      </c>
    </row>
    <row r="9" spans="1:14" x14ac:dyDescent="0.25">
      <c r="A9">
        <f>'[4]Clin-PDD'!M10</f>
        <v>1.2</v>
      </c>
      <c r="B9">
        <f>'[4]Clin-PDD'!N10</f>
        <v>0.18160199380621328</v>
      </c>
      <c r="D9">
        <f>'[4]Clin-PDD'!M39</f>
        <v>2.4</v>
      </c>
      <c r="E9">
        <f>'[4]Clin-PDD'!N39</f>
        <v>0.26501276611063923</v>
      </c>
      <c r="G9">
        <f>'[4]Clin-PDD'!M66</f>
        <v>3</v>
      </c>
      <c r="H9">
        <f>'[4]Clin-PDD'!N66</f>
        <v>0.28540606420927467</v>
      </c>
      <c r="J9">
        <f>'[4]Clin-PDD'!M93</f>
        <v>3</v>
      </c>
      <c r="K9">
        <f>'[4]Clin-PDD'!N93</f>
        <v>0.32332833531510097</v>
      </c>
      <c r="M9">
        <f>'[4]Clin-PDD'!M120</f>
        <v>3</v>
      </c>
      <c r="N9">
        <f>'[4]Clin-PDD'!N120</f>
        <v>0.35238049940546973</v>
      </c>
    </row>
    <row r="10" spans="1:14" x14ac:dyDescent="0.25">
      <c r="A10">
        <f>'[4]Clin-PDD'!M11</f>
        <v>1.4</v>
      </c>
      <c r="B10">
        <f>'[4]Clin-PDD'!N11</f>
        <v>0.14675126846766934</v>
      </c>
      <c r="D10">
        <f>'[4]Clin-PDD'!M40</f>
        <v>3.2</v>
      </c>
      <c r="E10">
        <f>'[4]Clin-PDD'!N40</f>
        <v>0.18061477692271105</v>
      </c>
      <c r="G10">
        <f>'[4]Clin-PDD'!M67</f>
        <v>4</v>
      </c>
      <c r="H10">
        <f>'[4]Clin-PDD'!N67</f>
        <v>0.21000557669441144</v>
      </c>
      <c r="J10">
        <f>'[4]Clin-PDD'!M94</f>
        <v>4</v>
      </c>
      <c r="K10">
        <f>'[4]Clin-PDD'!N94</f>
        <v>0.24692397431629012</v>
      </c>
      <c r="M10">
        <f>'[4]Clin-PDD'!M121</f>
        <v>4</v>
      </c>
      <c r="N10">
        <f>'[4]Clin-PDD'!N121</f>
        <v>0.28597612366230679</v>
      </c>
    </row>
    <row r="11" spans="1:14" x14ac:dyDescent="0.25">
      <c r="A11">
        <f>'[4]Clin-PDD'!M12</f>
        <v>1.8</v>
      </c>
      <c r="B11">
        <f>'[4]Clin-PDD'!N12</f>
        <v>9.6964251539716356E-2</v>
      </c>
      <c r="D11">
        <f>'[4]Clin-PDD'!M41</f>
        <v>6</v>
      </c>
      <c r="E11">
        <f>'[4]Clin-PDD'!N41</f>
        <v>9.5230609594767104E-2</v>
      </c>
      <c r="G11">
        <f>'[4]Clin-PDD'!M68</f>
        <v>6</v>
      </c>
      <c r="H11">
        <f>'[4]Clin-PDD'!N68</f>
        <v>0.10249561180478063</v>
      </c>
      <c r="J11">
        <f>'[4]Clin-PDD'!M95</f>
        <v>6</v>
      </c>
      <c r="K11">
        <f>'[4]Clin-PDD'!N95</f>
        <v>0.12677630052338418</v>
      </c>
      <c r="M11">
        <f>'[4]Clin-PDD'!M122</f>
        <v>6</v>
      </c>
      <c r="N11">
        <f>'[4]Clin-PDD'!N122</f>
        <v>0.14478548022092205</v>
      </c>
    </row>
    <row r="12" spans="1:14" x14ac:dyDescent="0.25">
      <c r="A12">
        <f>'[4]Clin-PDD'!M13</f>
        <v>3</v>
      </c>
      <c r="B12">
        <f>'[4]Clin-PDD'!N13</f>
        <v>4.5394949413469179E-2</v>
      </c>
      <c r="D12">
        <f>'[4]Clin-PDD'!M42</f>
        <v>10</v>
      </c>
      <c r="E12">
        <f>'[4]Clin-PDD'!N42</f>
        <v>2.2880749804335992E-2</v>
      </c>
      <c r="G12">
        <f>'[4]Clin-PDD'!M69</f>
        <v>10</v>
      </c>
      <c r="H12">
        <f>'[4]Clin-PDD'!N69</f>
        <v>2.5986028034736746E-2</v>
      </c>
      <c r="J12">
        <f>'[4]Clin-PDD'!M96</f>
        <v>10</v>
      </c>
      <c r="K12">
        <f>'[4]Clin-PDD'!N96</f>
        <v>3.6134573672675065E-2</v>
      </c>
      <c r="M12">
        <f>'[4]Clin-PDD'!M123</f>
        <v>10</v>
      </c>
      <c r="N12">
        <f>'[4]Clin-PDD'!N123</f>
        <v>4.1244847186383056E-2</v>
      </c>
    </row>
    <row r="13" spans="1:14" x14ac:dyDescent="0.25">
      <c r="A13">
        <f>'[4]Clin-PDD'!M14</f>
        <v>5</v>
      </c>
      <c r="B13">
        <f>'[4]Clin-PDD'!N14</f>
        <v>9.1399757751875876E-3</v>
      </c>
    </row>
    <row r="20" spans="1:14" x14ac:dyDescent="0.25">
      <c r="A20" t="s">
        <v>39</v>
      </c>
    </row>
    <row r="21" spans="1:14" x14ac:dyDescent="0.25">
      <c r="A21" t="s">
        <v>3</v>
      </c>
      <c r="D21" t="s">
        <v>4</v>
      </c>
      <c r="G21" t="s">
        <v>5</v>
      </c>
      <c r="J21" t="s">
        <v>6</v>
      </c>
      <c r="M21" t="s">
        <v>7</v>
      </c>
    </row>
    <row r="22" spans="1:14" x14ac:dyDescent="0.25">
      <c r="B22">
        <f>'[4]Clin-PDD'!N18</f>
        <v>1.25</v>
      </c>
      <c r="E22">
        <f>'[4]Clin-PDD'!N46</f>
        <v>2.25</v>
      </c>
      <c r="H22">
        <f>'[4]Clin-PDD'!N73</f>
        <v>3.25</v>
      </c>
      <c r="K22">
        <f>'[4]Clin-PDD'!N100</f>
        <v>4.25</v>
      </c>
      <c r="N22">
        <f>'[4]Clin-PDD'!N127</f>
        <v>5.25</v>
      </c>
    </row>
    <row r="23" spans="1:14" x14ac:dyDescent="0.25">
      <c r="A23">
        <f>'[4]Clin-PDD'!M19</f>
        <v>0</v>
      </c>
      <c r="B23">
        <f>'[4]Clin-PDD'!N19</f>
        <v>1</v>
      </c>
      <c r="D23">
        <f>'[4]Clin-PDD'!M47</f>
        <v>0</v>
      </c>
      <c r="E23">
        <f>'[4]Clin-PDD'!N47</f>
        <v>1</v>
      </c>
      <c r="G23">
        <f>'[4]Clin-PDD'!M74</f>
        <v>0</v>
      </c>
      <c r="H23">
        <f>'[4]Clin-PDD'!N74</f>
        <v>1</v>
      </c>
      <c r="J23">
        <f>'[4]Clin-PDD'!M101</f>
        <v>0</v>
      </c>
      <c r="K23">
        <f>'[4]Clin-PDD'!N101</f>
        <v>1</v>
      </c>
      <c r="M23">
        <f>'[4]Clin-PDD'!M128</f>
        <v>0</v>
      </c>
      <c r="N23">
        <f>'[4]Clin-PDD'!N128</f>
        <v>1</v>
      </c>
    </row>
    <row r="24" spans="1:14" x14ac:dyDescent="0.25">
      <c r="A24">
        <f>'[4]Clin-PDD'!M20</f>
        <v>0.1</v>
      </c>
      <c r="B24">
        <f>'[4]Clin-PDD'!N20</f>
        <v>0.7818453642478137</v>
      </c>
      <c r="D24">
        <f>'[4]Clin-PDD'!M48</f>
        <v>0.4</v>
      </c>
      <c r="E24">
        <f>'[4]Clin-PDD'!N48</f>
        <v>0.74046651193004875</v>
      </c>
      <c r="G24">
        <f>'[4]Clin-PDD'!M75</f>
        <v>0.5</v>
      </c>
      <c r="H24">
        <f>'[4]Clin-PDD'!N75</f>
        <v>0.76513868718877331</v>
      </c>
      <c r="J24">
        <f>'[4]Clin-PDD'!M102</f>
        <v>0.5</v>
      </c>
      <c r="K24">
        <f>'[4]Clin-PDD'!N102</f>
        <v>0.79243666263681933</v>
      </c>
      <c r="M24">
        <f>'[4]Clin-PDD'!M129</f>
        <v>0.5</v>
      </c>
      <c r="N24">
        <f>'[4]Clin-PDD'!N129</f>
        <v>0.83388313113480672</v>
      </c>
    </row>
    <row r="25" spans="1:14" x14ac:dyDescent="0.25">
      <c r="A25">
        <f>'[4]Clin-PDD'!M21</f>
        <v>0.2</v>
      </c>
      <c r="B25">
        <f>'[4]Clin-PDD'!N21</f>
        <v>0.64623415965577502</v>
      </c>
      <c r="D25">
        <f>'[4]Clin-PDD'!M49</f>
        <v>0.8</v>
      </c>
      <c r="E25">
        <f>'[4]Clin-PDD'!N49</f>
        <v>0.57973873132643527</v>
      </c>
      <c r="G25">
        <f>'[4]Clin-PDD'!M76</f>
        <v>1</v>
      </c>
      <c r="H25">
        <f>'[4]Clin-PDD'!N76</f>
        <v>0.59756531462200091</v>
      </c>
      <c r="J25">
        <f>'[4]Clin-PDD'!M103</f>
        <v>1</v>
      </c>
      <c r="K25">
        <f>'[4]Clin-PDD'!N103</f>
        <v>0.63265057439446393</v>
      </c>
      <c r="M25">
        <f>'[4]Clin-PDD'!M130</f>
        <v>1</v>
      </c>
      <c r="N25">
        <f>'[4]Clin-PDD'!N130</f>
        <v>0.69978661393969344</v>
      </c>
    </row>
    <row r="26" spans="1:14" x14ac:dyDescent="0.25">
      <c r="A26">
        <f>'[4]Clin-PDD'!M22</f>
        <v>0.4</v>
      </c>
      <c r="B26">
        <f>'[4]Clin-PDD'!N22</f>
        <v>0.46593194145683386</v>
      </c>
      <c r="D26">
        <f>'[4]Clin-PDD'!M50</f>
        <v>1.6</v>
      </c>
      <c r="E26">
        <f>'[4]Clin-PDD'!N50</f>
        <v>0.37896622102891847</v>
      </c>
      <c r="G26">
        <f>'[4]Clin-PDD'!M77</f>
        <v>2</v>
      </c>
      <c r="H26">
        <f>'[4]Clin-PDD'!N77</f>
        <v>0.40088839746491622</v>
      </c>
      <c r="J26">
        <f>'[4]Clin-PDD'!M104</f>
        <v>2</v>
      </c>
      <c r="K26">
        <f>'[4]Clin-PDD'!N104</f>
        <v>0.44042490591059935</v>
      </c>
      <c r="M26">
        <f>'[4]Clin-PDD'!M131</f>
        <v>2</v>
      </c>
      <c r="N26">
        <f>'[4]Clin-PDD'!N131</f>
        <v>0.52283833910034583</v>
      </c>
    </row>
    <row r="27" spans="1:14" x14ac:dyDescent="0.25">
      <c r="A27">
        <f>'[4]Clin-PDD'!M23</f>
        <v>0.8</v>
      </c>
      <c r="B27">
        <f>'[4]Clin-PDD'!N23</f>
        <v>0.28388961947344354</v>
      </c>
      <c r="D27">
        <f>'[4]Clin-PDD'!M51</f>
        <v>2.4</v>
      </c>
      <c r="E27">
        <f>'[4]Clin-PDD'!N51</f>
        <v>0.26320994656166496</v>
      </c>
      <c r="G27">
        <f>'[4]Clin-PDD'!M78</f>
        <v>3</v>
      </c>
      <c r="H27">
        <f>'[4]Clin-PDD'!N78</f>
        <v>0.29479876414667266</v>
      </c>
      <c r="J27">
        <f>'[4]Clin-PDD'!M105</f>
        <v>3</v>
      </c>
      <c r="K27">
        <f>'[4]Clin-PDD'!N105</f>
        <v>0.32696987139326311</v>
      </c>
      <c r="M27">
        <f>'[4]Clin-PDD'!M132</f>
        <v>3</v>
      </c>
      <c r="N27">
        <f>'[4]Clin-PDD'!N132</f>
        <v>0.39142837370242212</v>
      </c>
    </row>
    <row r="28" spans="1:14" x14ac:dyDescent="0.25">
      <c r="A28">
        <f>'[4]Clin-PDD'!M24</f>
        <v>1.2</v>
      </c>
      <c r="B28">
        <f>'[4]Clin-PDD'!N24</f>
        <v>0.19376386851956792</v>
      </c>
      <c r="D28">
        <f>'[4]Clin-PDD'!M52</f>
        <v>3.2</v>
      </c>
      <c r="E28">
        <f>'[4]Clin-PDD'!N52</f>
        <v>0.19119680307652615</v>
      </c>
      <c r="G28">
        <f>'[4]Clin-PDD'!M79</f>
        <v>4</v>
      </c>
      <c r="H28">
        <f>'[4]Clin-PDD'!N79</f>
        <v>0.21428338614757808</v>
      </c>
      <c r="J28">
        <f>'[4]Clin-PDD'!M106</f>
        <v>4</v>
      </c>
      <c r="K28">
        <f>'[4]Clin-PDD'!N106</f>
        <v>0.24705557087776289</v>
      </c>
      <c r="M28">
        <f>'[4]Clin-PDD'!M133</f>
        <v>4</v>
      </c>
      <c r="N28">
        <f>'[4]Clin-PDD'!N133</f>
        <v>0.2990996130216792</v>
      </c>
    </row>
    <row r="29" spans="1:14" x14ac:dyDescent="0.25">
      <c r="A29">
        <f>'[4]Clin-PDD'!M25</f>
        <v>1.4</v>
      </c>
      <c r="B29">
        <f>'[4]Clin-PDD'!N25</f>
        <v>0.15764684229811482</v>
      </c>
      <c r="D29">
        <f>'[4]Clin-PDD'!M53</f>
        <v>6</v>
      </c>
      <c r="E29">
        <f>'[4]Clin-PDD'!N53</f>
        <v>9.4738412925776491E-2</v>
      </c>
      <c r="G29">
        <f>'[4]Clin-PDD'!M80</f>
        <v>6</v>
      </c>
      <c r="H29">
        <f>'[4]Clin-PDD'!N80</f>
        <v>0.10453303032023727</v>
      </c>
      <c r="J29">
        <f>'[4]Clin-PDD'!M107</f>
        <v>6</v>
      </c>
      <c r="K29">
        <f>'[4]Clin-PDD'!N107</f>
        <v>0.12736673143377636</v>
      </c>
      <c r="M29">
        <f>'[4]Clin-PDD'!M134</f>
        <v>6</v>
      </c>
      <c r="N29">
        <f>'[4]Clin-PDD'!N134</f>
        <v>0.16496027386798567</v>
      </c>
    </row>
    <row r="30" spans="1:14" x14ac:dyDescent="0.25">
      <c r="A30">
        <f>'[4]Clin-PDD'!M26</f>
        <v>3</v>
      </c>
      <c r="B30">
        <f>'[4]Clin-PDD'!N26</f>
        <v>6.1324618013598696E-2</v>
      </c>
      <c r="D30">
        <f>'[4]Clin-PDD'!M54</f>
        <v>10</v>
      </c>
      <c r="E30">
        <f>'[4]Clin-PDD'!N54</f>
        <v>2.251575762481093E-2</v>
      </c>
      <c r="G30">
        <f>'[4]Clin-PDD'!M81</f>
        <v>10</v>
      </c>
      <c r="H30">
        <f>'[4]Clin-PDD'!N81</f>
        <v>2.6550231265586931E-2</v>
      </c>
      <c r="J30">
        <f>'[4]Clin-PDD'!M108</f>
        <v>10</v>
      </c>
      <c r="K30">
        <f>'[4]Clin-PDD'!N108</f>
        <v>3.6098260173388998E-2</v>
      </c>
      <c r="M30">
        <f>'[4]Clin-PDD'!M135</f>
        <v>10</v>
      </c>
      <c r="N30">
        <f>'[4]Clin-PDD'!N135</f>
        <v>5.2279642751335495E-2</v>
      </c>
    </row>
    <row r="31" spans="1:14" x14ac:dyDescent="0.25">
      <c r="A31">
        <f>'[4]Clin-PDD'!M27</f>
        <v>5</v>
      </c>
      <c r="B31">
        <f>'[4]Clin-PDD'!N27</f>
        <v>1.0093881075002226E-2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95</vt:i4>
      </vt:variant>
    </vt:vector>
  </HeadingPairs>
  <TitlesOfParts>
    <vt:vector size="102" baseType="lpstr">
      <vt:lpstr>General formalism</vt:lpstr>
      <vt:lpstr>D0_tshutter_SSD</vt:lpstr>
      <vt:lpstr>Bw</vt:lpstr>
      <vt:lpstr>PDD-mm</vt:lpstr>
      <vt:lpstr>PDD</vt:lpstr>
      <vt:lpstr>PDD_charts</vt:lpstr>
      <vt:lpstr>Att-w</vt:lpstr>
      <vt:lpstr>D_F1_A</vt:lpstr>
      <vt:lpstr>D_F1_B</vt:lpstr>
      <vt:lpstr>D_F1_C</vt:lpstr>
      <vt:lpstr>D_F1_D</vt:lpstr>
      <vt:lpstr>D_F1_E</vt:lpstr>
      <vt:lpstr>D_F1_F</vt:lpstr>
      <vt:lpstr>D_F2_A</vt:lpstr>
      <vt:lpstr>D_F2_B</vt:lpstr>
      <vt:lpstr>D_F2_C</vt:lpstr>
      <vt:lpstr>D_F2_D</vt:lpstr>
      <vt:lpstr>D_F2_E</vt:lpstr>
      <vt:lpstr>D_F2_F</vt:lpstr>
      <vt:lpstr>D_F3_A</vt:lpstr>
      <vt:lpstr>D_F3_B</vt:lpstr>
      <vt:lpstr>D_F3_C</vt:lpstr>
      <vt:lpstr>D_F3_D</vt:lpstr>
      <vt:lpstr>D_F3_E</vt:lpstr>
      <vt:lpstr>D_F3_F</vt:lpstr>
      <vt:lpstr>D_F4_A</vt:lpstr>
      <vt:lpstr>D_F4_B</vt:lpstr>
      <vt:lpstr>D_F4_C</vt:lpstr>
      <vt:lpstr>D_F4_D</vt:lpstr>
      <vt:lpstr>D_F4_E</vt:lpstr>
      <vt:lpstr>D_F4_F</vt:lpstr>
      <vt:lpstr>D_F5_A</vt:lpstr>
      <vt:lpstr>D_F5_B</vt:lpstr>
      <vt:lpstr>D_F5_C</vt:lpstr>
      <vt:lpstr>D_F5_D</vt:lpstr>
      <vt:lpstr>D_F5_E</vt:lpstr>
      <vt:lpstr>D_F5_F</vt:lpstr>
      <vt:lpstr>HVL_F1</vt:lpstr>
      <vt:lpstr>HVL_F2</vt:lpstr>
      <vt:lpstr>HVL_F3</vt:lpstr>
      <vt:lpstr>HVL_F4</vt:lpstr>
      <vt:lpstr>HVL_F5</vt:lpstr>
      <vt:lpstr>kV_F1</vt:lpstr>
      <vt:lpstr>kV_F2</vt:lpstr>
      <vt:lpstr>kV_F3</vt:lpstr>
      <vt:lpstr>kV_F4</vt:lpstr>
      <vt:lpstr>kV_F5</vt:lpstr>
      <vt:lpstr>'PDD-mm'!mu_F1_15</vt:lpstr>
      <vt:lpstr>mu_F1_15</vt:lpstr>
      <vt:lpstr>'PDD-mm'!mu_F1_25</vt:lpstr>
      <vt:lpstr>mu_F1_25</vt:lpstr>
      <vt:lpstr>'PDD-mm'!mu_F2_15</vt:lpstr>
      <vt:lpstr>mu_F2_15</vt:lpstr>
      <vt:lpstr>'PDD-mm'!mu_F2_25</vt:lpstr>
      <vt:lpstr>mu_F2_25</vt:lpstr>
      <vt:lpstr>'PDD-mm'!mu_F3_15</vt:lpstr>
      <vt:lpstr>mu_F3_15</vt:lpstr>
      <vt:lpstr>'PDD-mm'!mu_F3_25</vt:lpstr>
      <vt:lpstr>mu_F3_25</vt:lpstr>
      <vt:lpstr>'PDD-mm'!mu_F4_15</vt:lpstr>
      <vt:lpstr>mu_F4_15</vt:lpstr>
      <vt:lpstr>'PDD-mm'!mu_F4_25</vt:lpstr>
      <vt:lpstr>mu_F4_25</vt:lpstr>
      <vt:lpstr>'PDD-mm'!mu_F5_15</vt:lpstr>
      <vt:lpstr>mu_F5_15</vt:lpstr>
      <vt:lpstr>'PDD-mm'!mu_F5_25</vt:lpstr>
      <vt:lpstr>mu_F5_25</vt:lpstr>
      <vt:lpstr>SSD_F1_A</vt:lpstr>
      <vt:lpstr>SSD_F1_B</vt:lpstr>
      <vt:lpstr>SSD_F1_C</vt:lpstr>
      <vt:lpstr>SSD_F1_D</vt:lpstr>
      <vt:lpstr>SSD_F1_E</vt:lpstr>
      <vt:lpstr>SSD_F1_F</vt:lpstr>
      <vt:lpstr>SSD_F2_A</vt:lpstr>
      <vt:lpstr>SSD_F2_B</vt:lpstr>
      <vt:lpstr>SSD_F2_C</vt:lpstr>
      <vt:lpstr>SSD_F2_D</vt:lpstr>
      <vt:lpstr>SSD_F2_E</vt:lpstr>
      <vt:lpstr>SSD_F2_F</vt:lpstr>
      <vt:lpstr>SSD_F3_A</vt:lpstr>
      <vt:lpstr>SSD_F3_B</vt:lpstr>
      <vt:lpstr>SSD_F3_C</vt:lpstr>
      <vt:lpstr>SSD_F3_D</vt:lpstr>
      <vt:lpstr>SSD_F3_E</vt:lpstr>
      <vt:lpstr>SSD_F3_F</vt:lpstr>
      <vt:lpstr>SSD_F4_A</vt:lpstr>
      <vt:lpstr>SSD_F4_B</vt:lpstr>
      <vt:lpstr>SSD_F4_C</vt:lpstr>
      <vt:lpstr>SSD_F4_D</vt:lpstr>
      <vt:lpstr>SSD_F4_E</vt:lpstr>
      <vt:lpstr>SSD_F4_F</vt:lpstr>
      <vt:lpstr>SSD_F5_A</vt:lpstr>
      <vt:lpstr>SSD_F5_B</vt:lpstr>
      <vt:lpstr>SSD_F5_C</vt:lpstr>
      <vt:lpstr>SSD_F5_D</vt:lpstr>
      <vt:lpstr>SSD_F5_E</vt:lpstr>
      <vt:lpstr>SSD_F5_F</vt:lpstr>
      <vt:lpstr>tsh_F1</vt:lpstr>
      <vt:lpstr>tsh_F2</vt:lpstr>
      <vt:lpstr>tsh_F3</vt:lpstr>
      <vt:lpstr>tsh_F4</vt:lpstr>
      <vt:lpstr>tsh_F5</vt:lpstr>
    </vt:vector>
  </TitlesOfParts>
  <Company>ALCC-Barwon Health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SXRT - Xstrahl GM0412 - Clinical dosimetric data</dc:title>
  <dc:subject>SXRT clinical dosimetry</dc:subject>
  <dc:creator>fn</dc:creator>
  <cp:keywords>SXRT, Xstral</cp:keywords>
  <dc:description>Produced by F.Nelli 12-8-2015
Revised by T.Tran
Andrew Love Cancer Centre</dc:description>
  <cp:lastModifiedBy>FLAVIO NELLI</cp:lastModifiedBy>
  <cp:lastPrinted>2015-08-25T06:54:37Z</cp:lastPrinted>
  <dcterms:created xsi:type="dcterms:W3CDTF">2015-08-11T22:04:58Z</dcterms:created>
  <dcterms:modified xsi:type="dcterms:W3CDTF">2016-08-05T03:15:59Z</dcterms:modified>
  <cp:category>SXRT clinical dosimetry</cp:category>
  <cp:contentStatus>Aproved</cp:contentStatus>
</cp:coreProperties>
</file>